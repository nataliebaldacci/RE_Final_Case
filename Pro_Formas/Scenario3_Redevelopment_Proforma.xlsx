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ataliebaldacci/Desktop/Commercial_Real_Estate/"/>
    </mc:Choice>
  </mc:AlternateContent>
  <xr:revisionPtr revIDLastSave="0" documentId="13_ncr:1_{61611C3E-F3B7-BD4E-8CFF-D553F1E6E8D8}" xr6:coauthVersionLast="47" xr6:coauthVersionMax="47" xr10:uidLastSave="{00000000-0000-0000-0000-000000000000}"/>
  <bookViews>
    <workbookView xWindow="0" yWindow="680" windowWidth="25100" windowHeight="18680" tabRatio="500" xr2:uid="{00000000-000D-0000-FFFF-FFFF00000000}"/>
  </bookViews>
  <sheets>
    <sheet name="Assumptions" sheetId="3" r:id="rId1"/>
    <sheet name="Summary" sheetId="1" r:id="rId2"/>
    <sheet name="3A Warehouse" sheetId="2" r:id="rId3"/>
    <sheet name="3B Flex Industrial" sheetId="4" r:id="rId4"/>
    <sheet name="3C Data Center" sheetId="5" r:id="rId5"/>
    <sheet name="3D Multifamil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6" l="1"/>
  <c r="I37" i="6"/>
  <c r="H24" i="6"/>
  <c r="G24" i="6"/>
  <c r="F24" i="6"/>
  <c r="E24" i="6"/>
  <c r="D24" i="6"/>
  <c r="C24" i="6"/>
  <c r="B24" i="6"/>
  <c r="E23" i="6"/>
  <c r="D23" i="6"/>
  <c r="C23" i="6"/>
  <c r="B23" i="6"/>
  <c r="H22" i="6"/>
  <c r="G22" i="6"/>
  <c r="F22" i="6"/>
  <c r="E22" i="6"/>
  <c r="D22" i="6"/>
  <c r="C22" i="6"/>
  <c r="B22" i="6"/>
  <c r="D19" i="6"/>
  <c r="C19" i="6"/>
  <c r="I18" i="6"/>
  <c r="I19" i="6" s="1"/>
  <c r="F17" i="6"/>
  <c r="F18" i="6" s="1"/>
  <c r="E17" i="6"/>
  <c r="E18" i="6" s="1"/>
  <c r="C16" i="6"/>
  <c r="B16" i="6"/>
  <c r="B19" i="6" s="1"/>
  <c r="C13" i="6"/>
  <c r="I41" i="5"/>
  <c r="I37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I19" i="5"/>
  <c r="C16" i="5"/>
  <c r="B16" i="5"/>
  <c r="B19" i="5" s="1"/>
  <c r="C12" i="5"/>
  <c r="C13" i="5" s="1"/>
  <c r="B11" i="5"/>
  <c r="B8" i="5"/>
  <c r="I41" i="4"/>
  <c r="I37" i="4"/>
  <c r="H24" i="4"/>
  <c r="G24" i="4"/>
  <c r="F24" i="4"/>
  <c r="E24" i="4"/>
  <c r="D24" i="4"/>
  <c r="C24" i="4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I19" i="4"/>
  <c r="C18" i="4"/>
  <c r="F17" i="4"/>
  <c r="F18" i="4" s="1"/>
  <c r="E17" i="4"/>
  <c r="E18" i="4" s="1"/>
  <c r="E19" i="4" s="1"/>
  <c r="D17" i="4"/>
  <c r="D18" i="4" s="1"/>
  <c r="D19" i="4" s="1"/>
  <c r="C17" i="4"/>
  <c r="C16" i="4"/>
  <c r="C19" i="4" s="1"/>
  <c r="B16" i="4"/>
  <c r="B19" i="4" s="1"/>
  <c r="C12" i="4"/>
  <c r="C13" i="4" s="1"/>
  <c r="B11" i="4"/>
  <c r="B10" i="4"/>
  <c r="B9" i="4"/>
  <c r="B7" i="4"/>
  <c r="B13" i="4" s="1"/>
  <c r="B55" i="3"/>
  <c r="B8" i="6" s="1"/>
  <c r="B54" i="3"/>
  <c r="H23" i="6" s="1"/>
  <c r="B46" i="3"/>
  <c r="E24" i="5" s="1"/>
  <c r="B44" i="3"/>
  <c r="B7" i="5" s="1"/>
  <c r="B36" i="3"/>
  <c r="B28" i="3"/>
  <c r="D17" i="3"/>
  <c r="H32" i="6" s="1"/>
  <c r="D12" i="3"/>
  <c r="D11" i="3"/>
  <c r="B8" i="3"/>
  <c r="B23" i="3" s="1"/>
  <c r="D24" i="3" s="1"/>
  <c r="D6" i="3"/>
  <c r="I41" i="2"/>
  <c r="I37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I19" i="2"/>
  <c r="C18" i="2"/>
  <c r="F17" i="2"/>
  <c r="F18" i="2" s="1"/>
  <c r="E17" i="2"/>
  <c r="E18" i="2" s="1"/>
  <c r="E19" i="2" s="1"/>
  <c r="D17" i="2"/>
  <c r="D18" i="2" s="1"/>
  <c r="D19" i="2" s="1"/>
  <c r="C17" i="2"/>
  <c r="C16" i="2"/>
  <c r="C19" i="2" s="1"/>
  <c r="B16" i="2"/>
  <c r="B19" i="2" s="1"/>
  <c r="C12" i="2"/>
  <c r="C13" i="2" s="1"/>
  <c r="B11" i="2"/>
  <c r="B8" i="2"/>
  <c r="E14" i="1"/>
  <c r="D14" i="1"/>
  <c r="C14" i="1"/>
  <c r="B14" i="1"/>
  <c r="E13" i="1"/>
  <c r="D13" i="1"/>
  <c r="C13" i="1"/>
  <c r="B13" i="1"/>
  <c r="B25" i="5" l="1"/>
  <c r="B26" i="5"/>
  <c r="B29" i="5" s="1"/>
  <c r="B33" i="5" s="1"/>
  <c r="C25" i="2"/>
  <c r="B25" i="4"/>
  <c r="B25" i="2"/>
  <c r="B26" i="2" s="1"/>
  <c r="B29" i="2" s="1"/>
  <c r="B33" i="2" s="1"/>
  <c r="B10" i="5"/>
  <c r="B13" i="5" s="1"/>
  <c r="I13" i="5" s="1"/>
  <c r="B9" i="5"/>
  <c r="E29" i="4"/>
  <c r="E25" i="4"/>
  <c r="E26" i="4" s="1"/>
  <c r="B26" i="4"/>
  <c r="B29" i="4" s="1"/>
  <c r="B33" i="4" s="1"/>
  <c r="B45" i="4" s="1"/>
  <c r="B46" i="4" s="1"/>
  <c r="C46" i="4" s="1"/>
  <c r="D46" i="4" s="1"/>
  <c r="C26" i="6"/>
  <c r="C29" i="6" s="1"/>
  <c r="C33" i="6" s="1"/>
  <c r="C45" i="6" s="1"/>
  <c r="D25" i="2"/>
  <c r="D26" i="2" s="1"/>
  <c r="D29" i="2" s="1"/>
  <c r="D33" i="2" s="1"/>
  <c r="D45" i="2" s="1"/>
  <c r="E25" i="2"/>
  <c r="E26" i="2" s="1"/>
  <c r="E29" i="2" s="1"/>
  <c r="E33" i="2" s="1"/>
  <c r="E45" i="2" s="1"/>
  <c r="C26" i="2"/>
  <c r="C29" i="2" s="1"/>
  <c r="C33" i="2" s="1"/>
  <c r="C45" i="2" s="1"/>
  <c r="C25" i="4"/>
  <c r="C26" i="4" s="1"/>
  <c r="C29" i="4" s="1"/>
  <c r="C33" i="4" s="1"/>
  <c r="C45" i="4" s="1"/>
  <c r="D25" i="4"/>
  <c r="D26" i="4" s="1"/>
  <c r="D29" i="4" s="1"/>
  <c r="D33" i="4" s="1"/>
  <c r="D45" i="4" s="1"/>
  <c r="I13" i="4"/>
  <c r="B25" i="6"/>
  <c r="B26" i="6" s="1"/>
  <c r="B29" i="6" s="1"/>
  <c r="B33" i="6" s="1"/>
  <c r="B7" i="6"/>
  <c r="B7" i="2"/>
  <c r="D9" i="3"/>
  <c r="G24" i="5"/>
  <c r="C32" i="5"/>
  <c r="C32" i="2"/>
  <c r="D10" i="3"/>
  <c r="H24" i="5"/>
  <c r="D32" i="5"/>
  <c r="C32" i="4"/>
  <c r="G17" i="2"/>
  <c r="F19" i="2"/>
  <c r="D32" i="2"/>
  <c r="F24" i="5"/>
  <c r="B32" i="5"/>
  <c r="B32" i="2"/>
  <c r="B32" i="4"/>
  <c r="E32" i="5"/>
  <c r="F32" i="5"/>
  <c r="B32" i="6"/>
  <c r="G17" i="4"/>
  <c r="F19" i="4"/>
  <c r="D32" i="4"/>
  <c r="G32" i="5"/>
  <c r="E19" i="6"/>
  <c r="C32" i="6"/>
  <c r="E32" i="2"/>
  <c r="D18" i="3"/>
  <c r="E32" i="4"/>
  <c r="H32" i="5"/>
  <c r="F19" i="6"/>
  <c r="D32" i="6"/>
  <c r="F32" i="2"/>
  <c r="F32" i="4"/>
  <c r="G17" i="6"/>
  <c r="E32" i="6"/>
  <c r="G32" i="2"/>
  <c r="G32" i="4"/>
  <c r="C25" i="6"/>
  <c r="F32" i="6"/>
  <c r="H32" i="2"/>
  <c r="H32" i="4"/>
  <c r="C24" i="5"/>
  <c r="F23" i="6"/>
  <c r="D25" i="6"/>
  <c r="D26" i="6" s="1"/>
  <c r="D29" i="6" s="1"/>
  <c r="D33" i="6" s="1"/>
  <c r="D45" i="6" s="1"/>
  <c r="G32" i="6"/>
  <c r="C17" i="5"/>
  <c r="D24" i="5"/>
  <c r="G23" i="6"/>
  <c r="D5" i="1" l="1"/>
  <c r="B48" i="5"/>
  <c r="B45" i="5"/>
  <c r="B46" i="5" s="1"/>
  <c r="B10" i="6"/>
  <c r="B9" i="6"/>
  <c r="B13" i="6" s="1"/>
  <c r="D17" i="5"/>
  <c r="C18" i="5"/>
  <c r="C19" i="5" s="1"/>
  <c r="G18" i="6"/>
  <c r="H17" i="6"/>
  <c r="G19" i="6"/>
  <c r="B13" i="2"/>
  <c r="I13" i="2" s="1"/>
  <c r="B10" i="2"/>
  <c r="B9" i="2"/>
  <c r="E25" i="6"/>
  <c r="E26" i="6" s="1"/>
  <c r="E29" i="6" s="1"/>
  <c r="E33" i="6" s="1"/>
  <c r="E45" i="6" s="1"/>
  <c r="F25" i="2"/>
  <c r="F26" i="2" s="1"/>
  <c r="F29" i="2" s="1"/>
  <c r="F33" i="2" s="1"/>
  <c r="F45" i="2" s="1"/>
  <c r="F25" i="4"/>
  <c r="F26" i="4" s="1"/>
  <c r="F29" i="4" s="1"/>
  <c r="F33" i="4" s="1"/>
  <c r="F45" i="4" s="1"/>
  <c r="G18" i="2"/>
  <c r="G19" i="2"/>
  <c r="H17" i="2"/>
  <c r="G18" i="4"/>
  <c r="G19" i="4" s="1"/>
  <c r="H17" i="4"/>
  <c r="F25" i="6"/>
  <c r="F26" i="6" s="1"/>
  <c r="F29" i="6" s="1"/>
  <c r="F33" i="6" s="1"/>
  <c r="F45" i="6" s="1"/>
  <c r="B48" i="4"/>
  <c r="C5" i="1"/>
  <c r="E33" i="4"/>
  <c r="E45" i="4" s="1"/>
  <c r="E46" i="4" s="1"/>
  <c r="G25" i="4" l="1"/>
  <c r="G26" i="4" s="1"/>
  <c r="G29" i="4"/>
  <c r="G33" i="4" s="1"/>
  <c r="G45" i="4" s="1"/>
  <c r="I13" i="6"/>
  <c r="B45" i="6"/>
  <c r="B46" i="6" s="1"/>
  <c r="C46" i="6" s="1"/>
  <c r="D46" i="6" s="1"/>
  <c r="E46" i="6" s="1"/>
  <c r="F46" i="6" s="1"/>
  <c r="C25" i="5"/>
  <c r="C26" i="5" s="1"/>
  <c r="C29" i="5" s="1"/>
  <c r="C33" i="5" s="1"/>
  <c r="C45" i="5" s="1"/>
  <c r="C46" i="5" s="1"/>
  <c r="F46" i="4"/>
  <c r="G46" i="4" s="1"/>
  <c r="B45" i="2"/>
  <c r="B46" i="2" s="1"/>
  <c r="C46" i="2" s="1"/>
  <c r="D46" i="2" s="1"/>
  <c r="E46" i="2" s="1"/>
  <c r="F46" i="2" s="1"/>
  <c r="G46" i="2" s="1"/>
  <c r="H18" i="2"/>
  <c r="H19" i="2"/>
  <c r="H18" i="4"/>
  <c r="H19" i="4" s="1"/>
  <c r="G25" i="2"/>
  <c r="G26" i="2" s="1"/>
  <c r="G29" i="2"/>
  <c r="G33" i="2" s="1"/>
  <c r="G45" i="2" s="1"/>
  <c r="B5" i="1"/>
  <c r="B48" i="2"/>
  <c r="H18" i="6"/>
  <c r="H19" i="6"/>
  <c r="G25" i="6"/>
  <c r="G26" i="6" s="1"/>
  <c r="G29" i="6"/>
  <c r="G33" i="6" s="1"/>
  <c r="G45" i="6" s="1"/>
  <c r="D18" i="5"/>
  <c r="D19" i="5"/>
  <c r="E17" i="5"/>
  <c r="H25" i="4" l="1"/>
  <c r="H26" i="4" s="1"/>
  <c r="H29" i="4"/>
  <c r="H25" i="6"/>
  <c r="H26" i="6" s="1"/>
  <c r="H29" i="6" s="1"/>
  <c r="E18" i="5"/>
  <c r="E19" i="5" s="1"/>
  <c r="F17" i="5"/>
  <c r="H25" i="2"/>
  <c r="H26" i="2" s="1"/>
  <c r="H29" i="2" s="1"/>
  <c r="G46" i="6"/>
  <c r="B48" i="6"/>
  <c r="E5" i="1"/>
  <c r="D25" i="5"/>
  <c r="D26" i="5" s="1"/>
  <c r="D29" i="5" s="1"/>
  <c r="D33" i="5" s="1"/>
  <c r="D45" i="5" s="1"/>
  <c r="D46" i="5" s="1"/>
  <c r="B6" i="1" l="1"/>
  <c r="I36" i="2"/>
  <c r="I38" i="2" s="1"/>
  <c r="B49" i="2"/>
  <c r="B50" i="2" s="1"/>
  <c r="H33" i="2"/>
  <c r="E25" i="5"/>
  <c r="E26" i="5" s="1"/>
  <c r="E29" i="5" s="1"/>
  <c r="E33" i="5" s="1"/>
  <c r="E45" i="5" s="1"/>
  <c r="E46" i="5" s="1"/>
  <c r="B49" i="6"/>
  <c r="B50" i="6" s="1"/>
  <c r="I36" i="6"/>
  <c r="I38" i="6" s="1"/>
  <c r="H33" i="6"/>
  <c r="E6" i="1"/>
  <c r="F18" i="5"/>
  <c r="F19" i="5" s="1"/>
  <c r="G17" i="5"/>
  <c r="B49" i="4"/>
  <c r="B50" i="4" s="1"/>
  <c r="I36" i="4"/>
  <c r="I38" i="4" s="1"/>
  <c r="C6" i="1"/>
  <c r="H33" i="4"/>
  <c r="F25" i="5" l="1"/>
  <c r="F26" i="5" s="1"/>
  <c r="F29" i="5" s="1"/>
  <c r="F33" i="5" s="1"/>
  <c r="F45" i="5" s="1"/>
  <c r="F46" i="5" s="1"/>
  <c r="B51" i="6"/>
  <c r="E8" i="1" s="1"/>
  <c r="E7" i="1"/>
  <c r="H45" i="6"/>
  <c r="H46" i="6" s="1"/>
  <c r="B52" i="4"/>
  <c r="I39" i="4"/>
  <c r="I40" i="4" s="1"/>
  <c r="I42" i="4" s="1"/>
  <c r="C9" i="1"/>
  <c r="B51" i="4"/>
  <c r="C8" i="1" s="1"/>
  <c r="C7" i="1"/>
  <c r="G18" i="5"/>
  <c r="G19" i="5"/>
  <c r="H17" i="5"/>
  <c r="B52" i="6"/>
  <c r="I39" i="6"/>
  <c r="I40" i="6" s="1"/>
  <c r="I42" i="6" s="1"/>
  <c r="E9" i="1"/>
  <c r="H45" i="4"/>
  <c r="H46" i="4" s="1"/>
  <c r="I45" i="2"/>
  <c r="H45" i="2"/>
  <c r="H46" i="2" s="1"/>
  <c r="I46" i="2" s="1"/>
  <c r="B51" i="2"/>
  <c r="B8" i="1" s="1"/>
  <c r="B7" i="1"/>
  <c r="I40" i="2"/>
  <c r="I42" i="2" s="1"/>
  <c r="B52" i="2"/>
  <c r="I39" i="2"/>
  <c r="B9" i="1"/>
  <c r="B53" i="4" l="1"/>
  <c r="C11" i="1" s="1"/>
  <c r="C10" i="1"/>
  <c r="B54" i="4"/>
  <c r="C12" i="1" s="1"/>
  <c r="I45" i="4"/>
  <c r="B53" i="6"/>
  <c r="E10" i="1"/>
  <c r="B54" i="6"/>
  <c r="E12" i="1" s="1"/>
  <c r="I45" i="6"/>
  <c r="I46" i="6" s="1"/>
  <c r="B53" i="2"/>
  <c r="B11" i="1" s="1"/>
  <c r="B10" i="1"/>
  <c r="B54" i="2"/>
  <c r="B12" i="1" s="1"/>
  <c r="G25" i="5"/>
  <c r="G26" i="5" s="1"/>
  <c r="G29" i="5" s="1"/>
  <c r="G33" i="5" s="1"/>
  <c r="G45" i="5" s="1"/>
  <c r="G46" i="5" s="1"/>
  <c r="I46" i="4"/>
  <c r="H18" i="5"/>
  <c r="H19" i="5"/>
  <c r="H25" i="5" l="1"/>
  <c r="H26" i="5" s="1"/>
  <c r="H29" i="5" s="1"/>
  <c r="B58" i="6"/>
  <c r="E11" i="1"/>
  <c r="B49" i="5" l="1"/>
  <c r="B50" i="5" s="1"/>
  <c r="I36" i="5"/>
  <c r="I38" i="5" s="1"/>
  <c r="D6" i="1"/>
  <c r="H33" i="5"/>
  <c r="H45" i="5" l="1"/>
  <c r="H46" i="5" s="1"/>
  <c r="B52" i="5"/>
  <c r="I39" i="5"/>
  <c r="I40" i="5" s="1"/>
  <c r="I42" i="5" s="1"/>
  <c r="D9" i="1"/>
  <c r="B51" i="5"/>
  <c r="D8" i="1" s="1"/>
  <c r="D7" i="1"/>
  <c r="B53" i="5" l="1"/>
  <c r="D11" i="1" s="1"/>
  <c r="D10" i="1"/>
  <c r="B54" i="5"/>
  <c r="D12" i="1" s="1"/>
  <c r="I45" i="5"/>
  <c r="I4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Assumption</author>
  </authors>
  <commentList>
    <comment ref="D19" authorId="0" shapeId="0" xr:uid="{00000000-0006-0000-0200-000001000000}">
      <text>
        <r>
          <rPr>
            <sz val="10"/>
            <rFont val="Arial"/>
            <family val="2"/>
          </rPr>
          <t>Estimated at $17/SF for 61,649 SF</t>
        </r>
      </text>
    </comment>
  </commentList>
</comments>
</file>

<file path=xl/sharedStrings.xml><?xml version="1.0" encoding="utf-8"?>
<sst xmlns="http://schemas.openxmlformats.org/spreadsheetml/2006/main" count="380" uniqueCount="173">
  <si>
    <t>Scenario 3: Redevelopment Alternatives Comparison</t>
  </si>
  <si>
    <t>648 &amp; 650 Grassmere Park Drive, Nashville, TN 37211</t>
  </si>
  <si>
    <t>Metric</t>
  </si>
  <si>
    <t>3A: Warehouse</t>
  </si>
  <si>
    <t>3B: Flex Industrial</t>
  </si>
  <si>
    <t>3C: Data Center</t>
  </si>
  <si>
    <t>3D: Multifamily</t>
  </si>
  <si>
    <t>Total Development Cost</t>
  </si>
  <si>
    <t>Stabilized NOI (Year 6)</t>
  </si>
  <si>
    <t>Yield on Cost</t>
  </si>
  <si>
    <t>Development Spread</t>
  </si>
  <si>
    <t>Gross Sale Price</t>
  </si>
  <si>
    <t>Net Equity Reversion</t>
  </si>
  <si>
    <t>Profit Over Cost</t>
  </si>
  <si>
    <t>Multiple on Equity</t>
  </si>
  <si>
    <t>Entitlement Risk</t>
  </si>
  <si>
    <t>Construction Type</t>
  </si>
  <si>
    <t>TIMELINE &amp; RISK</t>
  </si>
  <si>
    <t>Requires Demolition</t>
  </si>
  <si>
    <t>Yes</t>
  </si>
  <si>
    <t>No</t>
  </si>
  <si>
    <t>IWD Permitted by Right</t>
  </si>
  <si>
    <t>No (SE Required)</t>
  </si>
  <si>
    <t>Preserves Asurion Income</t>
  </si>
  <si>
    <t>Leverages Existing Infrastructure</t>
  </si>
  <si>
    <t>Partially</t>
  </si>
  <si>
    <t>Yes (power + cooling)</t>
  </si>
  <si>
    <t>Revenue Start</t>
  </si>
  <si>
    <t>Year 2 (2028)</t>
  </si>
  <si>
    <t>Year 1 (2027)</t>
  </si>
  <si>
    <t>Year 3 (2029)</t>
  </si>
  <si>
    <t>Exit Before Loan Maturity (Dec 2029)</t>
  </si>
  <si>
    <t>Tight</t>
  </si>
  <si>
    <t>Feasible</t>
  </si>
  <si>
    <t>Scenario 3A: Warehouse / Distribution</t>
  </si>
  <si>
    <t>648 &amp; 650 Grassmere Park Drive</t>
  </si>
  <si>
    <t>Year 0
2026</t>
  </si>
  <si>
    <t>Year 1
2027</t>
  </si>
  <si>
    <t>Year 2
2028</t>
  </si>
  <si>
    <t>Year 3
2029</t>
  </si>
  <si>
    <t>Year 4
2030</t>
  </si>
  <si>
    <t>Year 5
2031</t>
  </si>
  <si>
    <t>Year 6
2032</t>
  </si>
  <si>
    <t>Total/Exit</t>
  </si>
  <si>
    <t>DEVELOPMENT COSTS</t>
  </si>
  <si>
    <t>Demolition + Site Prep</t>
  </si>
  <si>
    <t>Hard Construction Cost</t>
  </si>
  <si>
    <t>Soft Costs (% of hard costs)</t>
  </si>
  <si>
    <t>Contingency (% of hard costs)</t>
  </si>
  <si>
    <t>Tenant Improvements</t>
  </si>
  <si>
    <t>Leasing Commissions (Year 1)</t>
  </si>
  <si>
    <t>TOTAL DEVELOPMENT COST</t>
  </si>
  <si>
    <t>REVENUE</t>
  </si>
  <si>
    <t>Asurion Annex Rent (through Mar 2027)</t>
  </si>
  <si>
    <t>Warehouse / Distribution Gross Potential Rent</t>
  </si>
  <si>
    <t>Vacancy Loss</t>
  </si>
  <si>
    <t>EFFECTIVE GROSS INCOME</t>
  </si>
  <si>
    <t>OPERATING EXPENSES</t>
  </si>
  <si>
    <t>Property Taxes</t>
  </si>
  <si>
    <t>Insurance</t>
  </si>
  <si>
    <t>Operating Expenses</t>
  </si>
  <si>
    <t>Management Fee</t>
  </si>
  <si>
    <t>TOTAL OPERATING EXPENSES</t>
  </si>
  <si>
    <t>NET OPERATING INCOME</t>
  </si>
  <si>
    <t>NET OPERATING INCOME (NOI)</t>
  </si>
  <si>
    <t>DEBT SERVICE</t>
  </si>
  <si>
    <t>Annual Debt Service</t>
  </si>
  <si>
    <t>CASH FLOW AFTER DEBT SERVICE</t>
  </si>
  <si>
    <t>EXIT ANALYSIS (Year 6 Sale)</t>
  </si>
  <si>
    <t>Exit Cap Rate</t>
  </si>
  <si>
    <t>Selling Costs</t>
  </si>
  <si>
    <t>Net Sale Proceeds</t>
  </si>
  <si>
    <t>Less: Loan Payoff</t>
  </si>
  <si>
    <t>NET EQUITY REVERSION</t>
  </si>
  <si>
    <t>RETURN METRICS</t>
  </si>
  <si>
    <t>Total Cash Flow (incl. exit)</t>
  </si>
  <si>
    <t>Cumulative Cash Flow</t>
  </si>
  <si>
    <t>Yield on Cost (NOI / Total Dev Cost)</t>
  </si>
  <si>
    <t>Development Spread (YOC - Exit Cap)</t>
  </si>
  <si>
    <t>Profit (Net Proceeds - Total Cost - Debt)</t>
  </si>
  <si>
    <t>LOW - Permitted by right under IWD</t>
  </si>
  <si>
    <t>Ground-up new construction (full demolition)</t>
  </si>
  <si>
    <t>Scenario 3: Redevelopment Proforma</t>
  </si>
  <si>
    <t>All blue cells are adjustable inputs</t>
  </si>
  <si>
    <t>SUBJECT PROPERTY</t>
  </si>
  <si>
    <t>Total Site Area (acres)</t>
  </si>
  <si>
    <t>Total Site Area (SF)</t>
  </si>
  <si>
    <t>Main Building (SF)</t>
  </si>
  <si>
    <t>Annex Building (SF)</t>
  </si>
  <si>
    <t>Total Building Area (SF)</t>
  </si>
  <si>
    <t>Year Built</t>
  </si>
  <si>
    <t>Surface Parking Spaces</t>
  </si>
  <si>
    <t>Parking Ratio (per 1,000 SF)</t>
  </si>
  <si>
    <t>Current Appraised Value</t>
  </si>
  <si>
    <t>Appraised $/SF</t>
  </si>
  <si>
    <t>Land Appraised Value</t>
  </si>
  <si>
    <t>Land Value $/Acre</t>
  </si>
  <si>
    <t>Acquisition Price (2015)</t>
  </si>
  <si>
    <t>Acquisition $/SF</t>
  </si>
  <si>
    <t>Zoning</t>
  </si>
  <si>
    <t>IWD</t>
  </si>
  <si>
    <t>Generator Capacity (kW)</t>
  </si>
  <si>
    <t>CAPITAL STRUCTURE</t>
  </si>
  <si>
    <t>Existing Loan Balance (est.)</t>
  </si>
  <si>
    <t>Source: Interest-only, no principal paydown</t>
  </si>
  <si>
    <t>Interest Rate (est.)</t>
  </si>
  <si>
    <t>Loan Maturity</t>
  </si>
  <si>
    <t>December 2029</t>
  </si>
  <si>
    <t>Monthly Debt Service</t>
  </si>
  <si>
    <t>Asurion Annex Lease Expiration</t>
  </si>
  <si>
    <t>March 2027</t>
  </si>
  <si>
    <t>Asurion Annual Rent (est.)</t>
  </si>
  <si>
    <t>DEMOLITION COSTS</t>
  </si>
  <si>
    <t>Demolition Cost ($/SF)</t>
  </si>
  <si>
    <t>Source: RS Means 2025 Nashville avg for commercial demo</t>
  </si>
  <si>
    <t>Total Demolition Cost</t>
  </si>
  <si>
    <t>Abatement/Environmental (est.)</t>
  </si>
  <si>
    <t>Site Preparation / Grading</t>
  </si>
  <si>
    <t>Total Demo + Site Prep</t>
  </si>
  <si>
    <t>SCENARIO 3A: WAREHOUSE / DISTRIBUTION</t>
  </si>
  <si>
    <t>New Building Size (SF)</t>
  </si>
  <si>
    <t>Construction Cost ($/SF)</t>
  </si>
  <si>
    <t>Total Construction Cost</t>
  </si>
  <si>
    <t>Lease Rate ($/SF/yr NNN)</t>
  </si>
  <si>
    <t>Stabilized Occupancy</t>
  </si>
  <si>
    <t>Cap Rate (Exit)</t>
  </si>
  <si>
    <t>Lease-Up Period (months)</t>
  </si>
  <si>
    <t>TI Allowance ($/SF)</t>
  </si>
  <si>
    <t>Leasing Commission (%)</t>
  </si>
  <si>
    <t>Construction Timeline (months)</t>
  </si>
  <si>
    <t>Annual OpEx ($/SF)</t>
  </si>
  <si>
    <t>Annual Rent Escalation</t>
  </si>
  <si>
    <t>SCENARIO 3B: FLEX INDUSTRIAL / BUSINESS CENTER</t>
  </si>
  <si>
    <t>Conversion Area (SF) - Main Bldg</t>
  </si>
  <si>
    <t>Renovation Cost ($/SF)</t>
  </si>
  <si>
    <t>Total Renovation Cost</t>
  </si>
  <si>
    <t>Lease Rate ($/SF/yr Modified Gross)</t>
  </si>
  <si>
    <t>SCENARIO 3C: DATA CENTER SHELL</t>
  </si>
  <si>
    <t>Conversion Cost ($/SF)</t>
  </si>
  <si>
    <t>Total Conversion Cost</t>
  </si>
  <si>
    <t>Usable Data Hall (% of total)</t>
  </si>
  <si>
    <t>Usable Data Hall SF</t>
  </si>
  <si>
    <t>Power Upgrade Cost</t>
  </si>
  <si>
    <t>Annual OpEx ($/SF of data hall)</t>
  </si>
  <si>
    <t>NOTE: Lease rate applies to usable data hall SF only</t>
  </si>
  <si>
    <t>SCENARIO 3D: MULTI-FAMILY RESIDENTIAL (SE REQUIRED)</t>
  </si>
  <si>
    <t>Total Units</t>
  </si>
  <si>
    <t>Avg Unit Size (SF)</t>
  </si>
  <si>
    <t>Total Rentable SF</t>
  </si>
  <si>
    <t>Avg Monthly Rent ($/unit)</t>
  </si>
  <si>
    <t>BZA Timeline (months)</t>
  </si>
  <si>
    <t>Annual OpEx ($/unit)</t>
  </si>
  <si>
    <t>BZA Approval Probability</t>
  </si>
  <si>
    <t>GENERAL ASSUMPTIONS</t>
  </si>
  <si>
    <t>Discount Rate (WACC)</t>
  </si>
  <si>
    <t>Analysis Period (years)</t>
  </si>
  <si>
    <t>2026-2032 (exit before or at loan maturity)</t>
  </si>
  <si>
    <t>Property Tax Rate (% of appraised)</t>
  </si>
  <si>
    <t>Insurance ($/SF)</t>
  </si>
  <si>
    <t>Management Fee (% of EGI)</t>
  </si>
  <si>
    <t>Selling Costs (% of sale price)</t>
  </si>
  <si>
    <t>Scenario 3B: Flex Industrial / Business Center</t>
  </si>
  <si>
    <t>Renovation/Conversion Cost</t>
  </si>
  <si>
    <t>Additional Capital (Power/Infrastructure)</t>
  </si>
  <si>
    <t>Flex Industrial / Business Center Gross Potential Rent</t>
  </si>
  <si>
    <t>Adaptive reuse / conversion of existing building</t>
  </si>
  <si>
    <t>Scenario 3C: Data Center Shell</t>
  </si>
  <si>
    <t>Data Center Shell Gross Potential Rent</t>
  </si>
  <si>
    <t>Scenario 3D: Multi-Family Residential</t>
  </si>
  <si>
    <t>BZA / Entitlement Costs</t>
  </si>
  <si>
    <t>Residential Gross Potential Rent</t>
  </si>
  <si>
    <t>HIGH - Requires BZA Special Exception</t>
  </si>
  <si>
    <t>Risk-Adjusted Profit (x BZA probability)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</si>
</sst>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0.00\x"/>
    <numFmt numFmtId="167" formatCode="0.0"/>
    <numFmt numFmtId="168" formatCode="\$#,##0.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2E4057"/>
      <name val="Arial"/>
      <family val="2"/>
    </font>
    <font>
      <i/>
      <sz val="11"/>
      <color rgb="FF4A6A8A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b/>
      <sz val="11"/>
      <color rgb="FF000000"/>
      <name val="Arial"/>
      <family val="2"/>
    </font>
    <font>
      <b/>
      <sz val="11"/>
      <color rgb="FF2E4057"/>
      <name val="Arial"/>
      <family val="2"/>
    </font>
    <font>
      <sz val="11"/>
      <color rgb="FF0000FF"/>
      <name val="Arial"/>
      <family val="2"/>
    </font>
    <font>
      <i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5F7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right" vertical="center"/>
    </xf>
    <xf numFmtId="166" fontId="6" fillId="3" borderId="2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8" fillId="4" borderId="1" xfId="0" applyFont="1" applyFill="1" applyBorder="1"/>
    <xf numFmtId="0" fontId="0" fillId="4" borderId="1" xfId="0" applyFill="1" applyBorder="1"/>
    <xf numFmtId="0" fontId="9" fillId="5" borderId="1" xfId="0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0" fillId="0" borderId="2" xfId="0" applyBorder="1"/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10" fillId="0" borderId="0" xfId="0" applyFont="1"/>
    <xf numFmtId="3" fontId="5" fillId="0" borderId="1" xfId="0" applyNumberFormat="1" applyFont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1" fontId="9" fillId="5" borderId="1" xfId="0" applyNumberFormat="1" applyFont="1" applyFill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8" fontId="9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5F7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6A8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4057"/>
  </sheetPr>
  <dimension ref="A1:D69"/>
  <sheetViews>
    <sheetView tabSelected="1" topLeftCell="A22" zoomScaleNormal="100" workbookViewId="0">
      <selection activeCell="C34" sqref="C34"/>
    </sheetView>
  </sheetViews>
  <sheetFormatPr baseColWidth="10" defaultColWidth="8.6640625" defaultRowHeight="15" customHeight="1" x14ac:dyDescent="0.2"/>
  <cols>
    <col min="1" max="1" width="40" customWidth="1"/>
    <col min="2" max="2" width="22" customWidth="1"/>
    <col min="3" max="3" width="35" customWidth="1"/>
    <col min="4" max="4" width="22" customWidth="1"/>
  </cols>
  <sheetData>
    <row r="1" spans="1:4" ht="18" x14ac:dyDescent="0.2">
      <c r="A1" s="1" t="s">
        <v>82</v>
      </c>
    </row>
    <row r="2" spans="1:4" x14ac:dyDescent="0.2">
      <c r="A2" s="2" t="s">
        <v>1</v>
      </c>
    </row>
    <row r="3" spans="1:4" x14ac:dyDescent="0.2">
      <c r="A3" s="25" t="s">
        <v>83</v>
      </c>
    </row>
    <row r="5" spans="1:4" x14ac:dyDescent="0.2">
      <c r="A5" s="15" t="s">
        <v>84</v>
      </c>
      <c r="B5" s="16"/>
      <c r="C5" s="16"/>
      <c r="D5" s="16"/>
    </row>
    <row r="6" spans="1:4" x14ac:dyDescent="0.2">
      <c r="A6" s="4" t="s">
        <v>85</v>
      </c>
      <c r="B6" s="17">
        <v>23.49</v>
      </c>
      <c r="C6" s="4" t="s">
        <v>86</v>
      </c>
      <c r="D6" s="26">
        <f>B6*43560</f>
        <v>1023224.3999999999</v>
      </c>
    </row>
    <row r="7" spans="1:4" x14ac:dyDescent="0.2">
      <c r="A7" s="4" t="s">
        <v>87</v>
      </c>
      <c r="B7" s="27">
        <v>162550</v>
      </c>
      <c r="C7" s="4" t="s">
        <v>88</v>
      </c>
      <c r="D7" s="27">
        <v>61649</v>
      </c>
    </row>
    <row r="8" spans="1:4" x14ac:dyDescent="0.2">
      <c r="A8" s="4" t="s">
        <v>89</v>
      </c>
      <c r="B8" s="26">
        <f>B7+D7</f>
        <v>224199</v>
      </c>
      <c r="C8" s="4" t="s">
        <v>90</v>
      </c>
      <c r="D8" s="28">
        <v>1985</v>
      </c>
    </row>
    <row r="9" spans="1:4" x14ac:dyDescent="0.2">
      <c r="A9" s="4" t="s">
        <v>91</v>
      </c>
      <c r="B9" s="27">
        <v>1205</v>
      </c>
      <c r="C9" s="4" t="s">
        <v>92</v>
      </c>
      <c r="D9" s="29">
        <f>B9/(B8/1000)</f>
        <v>5.3746894499975468</v>
      </c>
    </row>
    <row r="10" spans="1:4" x14ac:dyDescent="0.2">
      <c r="A10" s="4" t="s">
        <v>93</v>
      </c>
      <c r="B10" s="30">
        <v>37400600</v>
      </c>
      <c r="C10" s="4" t="s">
        <v>94</v>
      </c>
      <c r="D10" s="31">
        <f>B10/B8</f>
        <v>166.81876368761681</v>
      </c>
    </row>
    <row r="11" spans="1:4" x14ac:dyDescent="0.2">
      <c r="A11" s="4" t="s">
        <v>95</v>
      </c>
      <c r="B11" s="30">
        <v>17394800</v>
      </c>
      <c r="C11" s="4" t="s">
        <v>96</v>
      </c>
      <c r="D11" s="18">
        <f>B11/B6</f>
        <v>740519.36994465732</v>
      </c>
    </row>
    <row r="12" spans="1:4" x14ac:dyDescent="0.2">
      <c r="A12" s="4" t="s">
        <v>97</v>
      </c>
      <c r="B12" s="30">
        <v>25938000</v>
      </c>
      <c r="C12" s="4" t="s">
        <v>98</v>
      </c>
      <c r="D12" s="31">
        <f>B12/B8</f>
        <v>115.69186303239533</v>
      </c>
    </row>
    <row r="13" spans="1:4" x14ac:dyDescent="0.2">
      <c r="A13" s="4" t="s">
        <v>99</v>
      </c>
      <c r="B13" s="17" t="s">
        <v>100</v>
      </c>
      <c r="C13" s="4" t="s">
        <v>101</v>
      </c>
      <c r="D13" s="27">
        <v>2250</v>
      </c>
    </row>
    <row r="15" spans="1:4" x14ac:dyDescent="0.2">
      <c r="A15" s="15" t="s">
        <v>102</v>
      </c>
      <c r="B15" s="16"/>
      <c r="C15" s="16"/>
      <c r="D15" s="16"/>
    </row>
    <row r="16" spans="1:4" ht="30" x14ac:dyDescent="0.2">
      <c r="A16" s="4" t="s">
        <v>103</v>
      </c>
      <c r="B16" s="30">
        <v>25938000</v>
      </c>
      <c r="C16" s="4" t="s">
        <v>104</v>
      </c>
    </row>
    <row r="17" spans="1:4" x14ac:dyDescent="0.2">
      <c r="A17" s="4" t="s">
        <v>105</v>
      </c>
      <c r="B17" s="32">
        <v>6.5000000000000002E-2</v>
      </c>
      <c r="C17" s="4" t="s">
        <v>66</v>
      </c>
      <c r="D17" s="18">
        <f>B16*B17</f>
        <v>1685970</v>
      </c>
    </row>
    <row r="18" spans="1:4" x14ac:dyDescent="0.2">
      <c r="A18" s="4" t="s">
        <v>106</v>
      </c>
      <c r="B18" s="17" t="s">
        <v>107</v>
      </c>
      <c r="C18" s="4" t="s">
        <v>108</v>
      </c>
      <c r="D18" s="18">
        <f>D17/12</f>
        <v>140497.5</v>
      </c>
    </row>
    <row r="19" spans="1:4" x14ac:dyDescent="0.2">
      <c r="A19" s="4" t="s">
        <v>109</v>
      </c>
      <c r="B19" s="17" t="s">
        <v>110</v>
      </c>
      <c r="C19" s="4" t="s">
        <v>111</v>
      </c>
      <c r="D19" s="30">
        <v>1047633</v>
      </c>
    </row>
    <row r="21" spans="1:4" x14ac:dyDescent="0.2">
      <c r="A21" s="15" t="s">
        <v>112</v>
      </c>
      <c r="B21" s="16"/>
      <c r="C21" s="16"/>
      <c r="D21" s="16"/>
    </row>
    <row r="22" spans="1:4" ht="30" x14ac:dyDescent="0.2">
      <c r="A22" s="4" t="s">
        <v>113</v>
      </c>
      <c r="B22" s="33">
        <v>12</v>
      </c>
      <c r="C22" s="4" t="s">
        <v>114</v>
      </c>
    </row>
    <row r="23" spans="1:4" x14ac:dyDescent="0.2">
      <c r="A23" s="4" t="s">
        <v>115</v>
      </c>
      <c r="B23" s="18">
        <f>B22*B8</f>
        <v>2690388</v>
      </c>
      <c r="C23" s="4" t="s">
        <v>116</v>
      </c>
      <c r="D23" s="30">
        <v>500000</v>
      </c>
    </row>
    <row r="24" spans="1:4" x14ac:dyDescent="0.2">
      <c r="A24" s="4" t="s">
        <v>117</v>
      </c>
      <c r="B24" s="30">
        <v>750000</v>
      </c>
      <c r="C24" s="4" t="s">
        <v>118</v>
      </c>
      <c r="D24" s="18">
        <f>B23+D23+B24</f>
        <v>3940388</v>
      </c>
    </row>
    <row r="26" spans="1:4" x14ac:dyDescent="0.2">
      <c r="A26" s="15" t="s">
        <v>119</v>
      </c>
      <c r="B26" s="16"/>
      <c r="C26" s="16"/>
      <c r="D26" s="16"/>
    </row>
    <row r="27" spans="1:4" x14ac:dyDescent="0.2">
      <c r="A27" s="4" t="s">
        <v>120</v>
      </c>
      <c r="B27" s="27">
        <v>350000</v>
      </c>
      <c r="C27" s="4" t="s">
        <v>121</v>
      </c>
      <c r="D27" s="33">
        <v>95</v>
      </c>
    </row>
    <row r="28" spans="1:4" x14ac:dyDescent="0.2">
      <c r="A28" s="4" t="s">
        <v>122</v>
      </c>
      <c r="B28" s="18">
        <f>B27*D27</f>
        <v>33250000</v>
      </c>
      <c r="C28" s="4" t="s">
        <v>123</v>
      </c>
      <c r="D28" s="33">
        <v>8.5</v>
      </c>
    </row>
    <row r="29" spans="1:4" x14ac:dyDescent="0.2">
      <c r="A29" s="4" t="s">
        <v>124</v>
      </c>
      <c r="B29" s="32">
        <v>0.95</v>
      </c>
      <c r="C29" s="4" t="s">
        <v>125</v>
      </c>
      <c r="D29" s="32">
        <v>0.06</v>
      </c>
    </row>
    <row r="30" spans="1:4" x14ac:dyDescent="0.2">
      <c r="A30" s="4" t="s">
        <v>126</v>
      </c>
      <c r="B30" s="28">
        <v>12</v>
      </c>
      <c r="C30" s="4" t="s">
        <v>127</v>
      </c>
      <c r="D30" s="33">
        <v>5</v>
      </c>
    </row>
    <row r="31" spans="1:4" x14ac:dyDescent="0.2">
      <c r="A31" s="4" t="s">
        <v>128</v>
      </c>
      <c r="B31" s="32">
        <v>0.05</v>
      </c>
      <c r="C31" s="4" t="s">
        <v>129</v>
      </c>
      <c r="D31" s="28">
        <v>14</v>
      </c>
    </row>
    <row r="32" spans="1:4" x14ac:dyDescent="0.2">
      <c r="A32" s="4" t="s">
        <v>130</v>
      </c>
      <c r="B32" s="33">
        <v>2.5</v>
      </c>
      <c r="C32" s="4" t="s">
        <v>131</v>
      </c>
      <c r="D32" s="32">
        <v>2.5000000000000001E-2</v>
      </c>
    </row>
    <row r="34" spans="1:4" x14ac:dyDescent="0.2">
      <c r="A34" s="15" t="s">
        <v>132</v>
      </c>
      <c r="B34" s="16"/>
      <c r="C34" s="16"/>
      <c r="D34" s="16"/>
    </row>
    <row r="35" spans="1:4" x14ac:dyDescent="0.2">
      <c r="A35" s="4" t="s">
        <v>133</v>
      </c>
      <c r="B35" s="27">
        <v>162550</v>
      </c>
      <c r="C35" s="4" t="s">
        <v>134</v>
      </c>
      <c r="D35" s="33">
        <v>45</v>
      </c>
    </row>
    <row r="36" spans="1:4" x14ac:dyDescent="0.2">
      <c r="A36" s="4" t="s">
        <v>135</v>
      </c>
      <c r="B36" s="18">
        <f>B35*D35</f>
        <v>7314750</v>
      </c>
      <c r="C36" s="4" t="s">
        <v>136</v>
      </c>
      <c r="D36" s="33">
        <v>14</v>
      </c>
    </row>
    <row r="37" spans="1:4" x14ac:dyDescent="0.2">
      <c r="A37" s="4" t="s">
        <v>124</v>
      </c>
      <c r="B37" s="32">
        <v>0.85</v>
      </c>
      <c r="C37" s="4" t="s">
        <v>125</v>
      </c>
      <c r="D37" s="32">
        <v>7.4999999999999997E-2</v>
      </c>
    </row>
    <row r="38" spans="1:4" x14ac:dyDescent="0.2">
      <c r="A38" s="4" t="s">
        <v>126</v>
      </c>
      <c r="B38" s="28">
        <v>18</v>
      </c>
      <c r="C38" s="4" t="s">
        <v>127</v>
      </c>
      <c r="D38" s="33">
        <v>20</v>
      </c>
    </row>
    <row r="39" spans="1:4" x14ac:dyDescent="0.2">
      <c r="A39" s="4" t="s">
        <v>128</v>
      </c>
      <c r="B39" s="32">
        <v>0.06</v>
      </c>
      <c r="C39" s="4" t="s">
        <v>129</v>
      </c>
      <c r="D39" s="28">
        <v>8</v>
      </c>
    </row>
    <row r="40" spans="1:4" x14ac:dyDescent="0.2">
      <c r="A40" s="4" t="s">
        <v>130</v>
      </c>
      <c r="B40" s="33">
        <v>6.5</v>
      </c>
      <c r="C40" s="4" t="s">
        <v>131</v>
      </c>
      <c r="D40" s="32">
        <v>2.5000000000000001E-2</v>
      </c>
    </row>
    <row r="42" spans="1:4" x14ac:dyDescent="0.2">
      <c r="A42" s="15" t="s">
        <v>137</v>
      </c>
      <c r="B42" s="16"/>
      <c r="C42" s="16"/>
      <c r="D42" s="16"/>
    </row>
    <row r="43" spans="1:4" x14ac:dyDescent="0.2">
      <c r="A43" s="4" t="s">
        <v>133</v>
      </c>
      <c r="B43" s="27">
        <v>162550</v>
      </c>
      <c r="C43" s="4" t="s">
        <v>138</v>
      </c>
      <c r="D43" s="33">
        <v>150</v>
      </c>
    </row>
    <row r="44" spans="1:4" x14ac:dyDescent="0.2">
      <c r="A44" s="4" t="s">
        <v>139</v>
      </c>
      <c r="B44" s="18">
        <f>B43*D43</f>
        <v>24382500</v>
      </c>
      <c r="C44" s="4" t="s">
        <v>123</v>
      </c>
      <c r="D44" s="33">
        <v>85</v>
      </c>
    </row>
    <row r="45" spans="1:4" x14ac:dyDescent="0.2">
      <c r="A45" s="4" t="s">
        <v>140</v>
      </c>
      <c r="B45" s="32">
        <v>0.6</v>
      </c>
      <c r="C45" s="4" t="s">
        <v>124</v>
      </c>
      <c r="D45" s="32">
        <v>0.95</v>
      </c>
    </row>
    <row r="46" spans="1:4" x14ac:dyDescent="0.2">
      <c r="A46" s="4" t="s">
        <v>141</v>
      </c>
      <c r="B46" s="26">
        <f>B43*B45</f>
        <v>97530</v>
      </c>
      <c r="C46" s="4" t="s">
        <v>125</v>
      </c>
      <c r="D46" s="32">
        <v>5.5E-2</v>
      </c>
    </row>
    <row r="47" spans="1:4" x14ac:dyDescent="0.2">
      <c r="A47" s="4" t="s">
        <v>126</v>
      </c>
      <c r="B47" s="28">
        <v>12</v>
      </c>
      <c r="C47" s="4" t="s">
        <v>127</v>
      </c>
      <c r="D47" s="33">
        <v>0</v>
      </c>
    </row>
    <row r="48" spans="1:4" x14ac:dyDescent="0.2">
      <c r="A48" s="4" t="s">
        <v>128</v>
      </c>
      <c r="B48" s="32">
        <v>0.04</v>
      </c>
      <c r="C48" s="4" t="s">
        <v>142</v>
      </c>
      <c r="D48" s="30">
        <v>3500000</v>
      </c>
    </row>
    <row r="49" spans="1:4" x14ac:dyDescent="0.2">
      <c r="A49" s="4" t="s">
        <v>143</v>
      </c>
      <c r="B49" s="33">
        <v>15</v>
      </c>
      <c r="C49" s="4" t="s">
        <v>129</v>
      </c>
      <c r="D49" s="28">
        <v>12</v>
      </c>
    </row>
    <row r="50" spans="1:4" x14ac:dyDescent="0.2">
      <c r="A50" s="4" t="s">
        <v>131</v>
      </c>
      <c r="B50" s="32">
        <v>0.03</v>
      </c>
    </row>
    <row r="51" spans="1:4" ht="30" x14ac:dyDescent="0.2">
      <c r="A51" s="7" t="s">
        <v>144</v>
      </c>
    </row>
    <row r="52" spans="1:4" x14ac:dyDescent="0.2">
      <c r="A52" s="15" t="s">
        <v>145</v>
      </c>
      <c r="B52" s="16"/>
      <c r="C52" s="16"/>
      <c r="D52" s="16"/>
    </row>
    <row r="53" spans="1:4" x14ac:dyDescent="0.2">
      <c r="A53" s="4" t="s">
        <v>146</v>
      </c>
      <c r="B53" s="27">
        <v>400</v>
      </c>
      <c r="C53" s="4" t="s">
        <v>147</v>
      </c>
      <c r="D53" s="27">
        <v>900</v>
      </c>
    </row>
    <row r="54" spans="1:4" x14ac:dyDescent="0.2">
      <c r="A54" s="4" t="s">
        <v>148</v>
      </c>
      <c r="B54" s="26">
        <f>B53*D53</f>
        <v>360000</v>
      </c>
      <c r="C54" s="4" t="s">
        <v>121</v>
      </c>
      <c r="D54" s="33">
        <v>200</v>
      </c>
    </row>
    <row r="55" spans="1:4" x14ac:dyDescent="0.2">
      <c r="A55" s="4" t="s">
        <v>122</v>
      </c>
      <c r="B55" s="18">
        <f>B54*D54</f>
        <v>72000000</v>
      </c>
      <c r="C55" s="4" t="s">
        <v>149</v>
      </c>
      <c r="D55" s="30">
        <v>1650</v>
      </c>
    </row>
    <row r="56" spans="1:4" x14ac:dyDescent="0.2">
      <c r="A56" s="4" t="s">
        <v>124</v>
      </c>
      <c r="B56" s="32">
        <v>0.93</v>
      </c>
      <c r="C56" s="4" t="s">
        <v>125</v>
      </c>
      <c r="D56" s="32">
        <v>0.05</v>
      </c>
    </row>
    <row r="57" spans="1:4" x14ac:dyDescent="0.2">
      <c r="A57" s="4" t="s">
        <v>126</v>
      </c>
      <c r="B57" s="28">
        <v>18</v>
      </c>
      <c r="C57" s="4" t="s">
        <v>150</v>
      </c>
      <c r="D57" s="28">
        <v>8</v>
      </c>
    </row>
    <row r="58" spans="1:4" x14ac:dyDescent="0.2">
      <c r="A58" s="4" t="s">
        <v>129</v>
      </c>
      <c r="B58" s="28">
        <v>24</v>
      </c>
      <c r="C58" s="4" t="s">
        <v>151</v>
      </c>
      <c r="D58" s="30">
        <v>6000</v>
      </c>
    </row>
    <row r="59" spans="1:4" x14ac:dyDescent="0.2">
      <c r="A59" s="4" t="s">
        <v>131</v>
      </c>
      <c r="B59" s="32">
        <v>0.03</v>
      </c>
      <c r="C59" s="4" t="s">
        <v>152</v>
      </c>
      <c r="D59" s="32">
        <v>0.5</v>
      </c>
    </row>
    <row r="61" spans="1:4" x14ac:dyDescent="0.2">
      <c r="A61" s="15" t="s">
        <v>153</v>
      </c>
      <c r="B61" s="16"/>
      <c r="C61" s="16"/>
      <c r="D61" s="16"/>
    </row>
    <row r="62" spans="1:4" x14ac:dyDescent="0.2">
      <c r="A62" s="4" t="s">
        <v>154</v>
      </c>
      <c r="B62" s="32">
        <v>0.09</v>
      </c>
    </row>
    <row r="63" spans="1:4" ht="30" x14ac:dyDescent="0.2">
      <c r="A63" s="4" t="s">
        <v>155</v>
      </c>
      <c r="B63" s="28">
        <v>7</v>
      </c>
      <c r="C63" s="4" t="s">
        <v>156</v>
      </c>
    </row>
    <row r="64" spans="1:4" x14ac:dyDescent="0.2">
      <c r="A64" s="4" t="s">
        <v>157</v>
      </c>
      <c r="B64" s="32">
        <v>2.75E-2</v>
      </c>
    </row>
    <row r="65" spans="1:2" x14ac:dyDescent="0.2">
      <c r="A65" s="4" t="s">
        <v>158</v>
      </c>
      <c r="B65" s="33">
        <v>1.5</v>
      </c>
    </row>
    <row r="66" spans="1:2" x14ac:dyDescent="0.2">
      <c r="A66" s="4" t="s">
        <v>159</v>
      </c>
      <c r="B66" s="32">
        <v>0.04</v>
      </c>
    </row>
    <row r="67" spans="1:2" x14ac:dyDescent="0.2">
      <c r="A67" s="4" t="s">
        <v>160</v>
      </c>
      <c r="B67" s="32">
        <v>0.02</v>
      </c>
    </row>
    <row r="68" spans="1:2" x14ac:dyDescent="0.2">
      <c r="A68" s="4" t="s">
        <v>47</v>
      </c>
      <c r="B68" s="32">
        <v>0.15</v>
      </c>
    </row>
    <row r="69" spans="1:2" x14ac:dyDescent="0.2">
      <c r="A69" s="4" t="s">
        <v>48</v>
      </c>
      <c r="B69" s="32">
        <v>0.1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</sheetPr>
  <dimension ref="A1:E22"/>
  <sheetViews>
    <sheetView zoomScaleNormal="100" workbookViewId="0">
      <selection activeCell="B16" sqref="B16"/>
    </sheetView>
  </sheetViews>
  <sheetFormatPr baseColWidth="10" defaultColWidth="8.6640625" defaultRowHeight="15" customHeight="1" x14ac:dyDescent="0.2"/>
  <cols>
    <col min="1" max="1" width="40" customWidth="1"/>
    <col min="2" max="5" width="25" customWidth="1"/>
  </cols>
  <sheetData>
    <row r="1" spans="1:5" ht="18" x14ac:dyDescent="0.2">
      <c r="A1" s="1" t="s">
        <v>0</v>
      </c>
    </row>
    <row r="2" spans="1:5" x14ac:dyDescent="0.2">
      <c r="A2" s="2" t="s">
        <v>1</v>
      </c>
    </row>
    <row r="4" spans="1:5" ht="1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">
      <c r="A5" s="4" t="s">
        <v>7</v>
      </c>
      <c r="B5" s="5">
        <f>'3A Warehouse'!I13</f>
        <v>48386735</v>
      </c>
      <c r="C5" s="5">
        <f>'3B Flex Industrial'!I13</f>
        <v>12530979.5</v>
      </c>
      <c r="D5" s="5">
        <f>'3C Data Center'!I13</f>
        <v>35405795</v>
      </c>
      <c r="E5" s="5">
        <f>'3D Multifamily'!I13</f>
        <v>95075485</v>
      </c>
    </row>
    <row r="6" spans="1:5" x14ac:dyDescent="0.2">
      <c r="A6" s="4" t="s">
        <v>8</v>
      </c>
      <c r="B6" s="6">
        <f>'3A Warehouse'!H29</f>
        <v>-893648.11839257949</v>
      </c>
      <c r="C6" s="6">
        <f>'3B Flex Industrial'!H29</f>
        <v>-1278420.2666093209</v>
      </c>
      <c r="D6" s="6">
        <f>'3C Data Center'!H29</f>
        <v>1647069.1580807264</v>
      </c>
      <c r="E6" s="6">
        <f>'3D Multifamily'!H29</f>
        <v>-105193.30422399985</v>
      </c>
    </row>
    <row r="7" spans="1:5" x14ac:dyDescent="0.2">
      <c r="A7" s="7" t="s">
        <v>9</v>
      </c>
      <c r="B7" s="8">
        <f>'3A Warehouse'!B50</f>
        <v>-1.8468865865667098E-2</v>
      </c>
      <c r="C7" s="8">
        <f>'3B Flex Industrial'!B50</f>
        <v>-0.10202077711557352</v>
      </c>
      <c r="D7" s="8">
        <f>'3C Data Center'!B50</f>
        <v>4.6519762035585596E-2</v>
      </c>
      <c r="E7" s="8">
        <f>'3D Multifamily'!B50</f>
        <v>-1.1064188021128669E-3</v>
      </c>
    </row>
    <row r="8" spans="1:5" x14ac:dyDescent="0.2">
      <c r="A8" s="4" t="s">
        <v>10</v>
      </c>
      <c r="B8" s="9">
        <f>'3A Warehouse'!B51</f>
        <v>-7.8468865865667092E-2</v>
      </c>
      <c r="C8" s="9">
        <f>'3B Flex Industrial'!B51</f>
        <v>-0.17702077711557351</v>
      </c>
      <c r="D8" s="9">
        <f>'3C Data Center'!B51</f>
        <v>-8.4802379644144041E-3</v>
      </c>
      <c r="E8" s="9">
        <f>'3D Multifamily'!B51</f>
        <v>-5.110641880211287E-2</v>
      </c>
    </row>
    <row r="9" spans="1:5" x14ac:dyDescent="0.2">
      <c r="A9" s="4" t="s">
        <v>11</v>
      </c>
      <c r="B9" s="5">
        <f>'3A Warehouse'!I38</f>
        <v>-14894135.306542993</v>
      </c>
      <c r="C9" s="5">
        <f>'3B Flex Industrial'!I38</f>
        <v>-17045603.554790948</v>
      </c>
      <c r="D9" s="5">
        <f>'3C Data Center'!I38</f>
        <v>29946711.965104118</v>
      </c>
      <c r="E9" s="5">
        <f>'3D Multifamily'!I38</f>
        <v>-2103866.0844799969</v>
      </c>
    </row>
    <row r="10" spans="1:5" x14ac:dyDescent="0.2">
      <c r="A10" s="4" t="s">
        <v>12</v>
      </c>
      <c r="B10" s="6">
        <f>'3A Warehouse'!I42</f>
        <v>-40534252.60041213</v>
      </c>
      <c r="C10" s="6">
        <f>'3B Flex Industrial'!I42</f>
        <v>-42642691.483695127</v>
      </c>
      <c r="D10" s="6">
        <f>'3C Data Center'!I42</f>
        <v>3409777.7258020341</v>
      </c>
      <c r="E10" s="6">
        <f>'3D Multifamily'!I42</f>
        <v>-27999788.762790397</v>
      </c>
    </row>
    <row r="11" spans="1:5" x14ac:dyDescent="0.2">
      <c r="A11" s="10" t="s">
        <v>13</v>
      </c>
      <c r="B11" s="11">
        <f>'3A Warehouse'!B53</f>
        <v>-88920987.60041213</v>
      </c>
      <c r="C11" s="11">
        <f>'3B Flex Industrial'!B53</f>
        <v>-55173670.983695127</v>
      </c>
      <c r="D11" s="11">
        <f>'3C Data Center'!B53</f>
        <v>-31996017.274197966</v>
      </c>
      <c r="E11" s="11">
        <f>'3D Multifamily'!B53</f>
        <v>-123075273.7627904</v>
      </c>
    </row>
    <row r="12" spans="1:5" x14ac:dyDescent="0.2">
      <c r="A12" s="10" t="s">
        <v>14</v>
      </c>
      <c r="B12" s="12">
        <f>'3A Warehouse'!B54</f>
        <v>-1.1504537008853322</v>
      </c>
      <c r="C12" s="12">
        <f>'3B Flex Industrial'!B54</f>
        <v>-4.9367552484366657</v>
      </c>
      <c r="D12" s="12">
        <f>'3C Data Center'!B54</f>
        <v>7.7164793665452118E-3</v>
      </c>
      <c r="E12" s="12">
        <f>'3D Multifamily'!B54</f>
        <v>-0.39842529972699475</v>
      </c>
    </row>
    <row r="13" spans="1:5" x14ac:dyDescent="0.2">
      <c r="A13" s="4" t="s">
        <v>15</v>
      </c>
      <c r="B13" s="13" t="str">
        <f>'3A Warehouse'!B56</f>
        <v>LOW - Permitted by right under IWD</v>
      </c>
      <c r="C13" s="13" t="str">
        <f>'3B Flex Industrial'!B56</f>
        <v>LOW - Permitted by right under IWD</v>
      </c>
      <c r="D13" s="13" t="str">
        <f>'3C Data Center'!B56</f>
        <v>LOW - Permitted by right under IWD</v>
      </c>
      <c r="E13" s="13" t="str">
        <f>'3D Multifamily'!B56</f>
        <v>HIGH - Requires BZA Special Exception</v>
      </c>
    </row>
    <row r="14" spans="1:5" x14ac:dyDescent="0.2">
      <c r="A14" s="4" t="s">
        <v>16</v>
      </c>
      <c r="B14" s="14" t="str">
        <f>'3A Warehouse'!B57</f>
        <v>Ground-up new construction (full demolition)</v>
      </c>
      <c r="C14" s="14" t="str">
        <f>'3B Flex Industrial'!B57</f>
        <v>Adaptive reuse / conversion of existing building</v>
      </c>
      <c r="D14" s="14" t="str">
        <f>'3C Data Center'!B57</f>
        <v>Adaptive reuse / conversion of existing building</v>
      </c>
      <c r="E14" s="14" t="str">
        <f>'3D Multifamily'!B57</f>
        <v>Ground-up new construction (full demolition)</v>
      </c>
    </row>
    <row r="16" spans="1:5" x14ac:dyDescent="0.2">
      <c r="A16" s="15" t="s">
        <v>17</v>
      </c>
      <c r="B16" s="16"/>
      <c r="C16" s="16"/>
      <c r="D16" s="16"/>
      <c r="E16" s="16"/>
    </row>
    <row r="17" spans="1:5" x14ac:dyDescent="0.2">
      <c r="A17" s="4" t="s">
        <v>18</v>
      </c>
      <c r="B17" s="17" t="s">
        <v>19</v>
      </c>
      <c r="C17" s="17" t="s">
        <v>20</v>
      </c>
      <c r="D17" s="17" t="s">
        <v>20</v>
      </c>
      <c r="E17" s="17" t="s">
        <v>19</v>
      </c>
    </row>
    <row r="18" spans="1:5" x14ac:dyDescent="0.2">
      <c r="A18" s="4" t="s">
        <v>21</v>
      </c>
      <c r="B18" s="17" t="s">
        <v>19</v>
      </c>
      <c r="C18" s="17" t="s">
        <v>19</v>
      </c>
      <c r="D18" s="17" t="s">
        <v>19</v>
      </c>
      <c r="E18" s="17" t="s">
        <v>22</v>
      </c>
    </row>
    <row r="19" spans="1:5" x14ac:dyDescent="0.2">
      <c r="A19" s="4" t="s">
        <v>23</v>
      </c>
      <c r="B19" s="17" t="s">
        <v>20</v>
      </c>
      <c r="C19" s="17" t="s">
        <v>19</v>
      </c>
      <c r="D19" s="17" t="s">
        <v>19</v>
      </c>
      <c r="E19" s="17" t="s">
        <v>20</v>
      </c>
    </row>
    <row r="20" spans="1:5" x14ac:dyDescent="0.2">
      <c r="A20" s="4" t="s">
        <v>24</v>
      </c>
      <c r="B20" s="17" t="s">
        <v>20</v>
      </c>
      <c r="C20" s="17" t="s">
        <v>25</v>
      </c>
      <c r="D20" s="17" t="s">
        <v>26</v>
      </c>
      <c r="E20" s="17" t="s">
        <v>20</v>
      </c>
    </row>
    <row r="21" spans="1:5" x14ac:dyDescent="0.2">
      <c r="A21" s="4" t="s">
        <v>27</v>
      </c>
      <c r="B21" s="17" t="s">
        <v>28</v>
      </c>
      <c r="C21" s="17" t="s">
        <v>29</v>
      </c>
      <c r="D21" s="17" t="s">
        <v>29</v>
      </c>
      <c r="E21" s="17" t="s">
        <v>30</v>
      </c>
    </row>
    <row r="22" spans="1:5" x14ac:dyDescent="0.2">
      <c r="A22" s="4" t="s">
        <v>31</v>
      </c>
      <c r="B22" s="17" t="s">
        <v>32</v>
      </c>
      <c r="C22" s="17" t="s">
        <v>33</v>
      </c>
      <c r="D22" s="17" t="s">
        <v>33</v>
      </c>
      <c r="E22" s="1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I57"/>
  <sheetViews>
    <sheetView zoomScaleNormal="100" workbookViewId="0">
      <selection activeCell="B8" sqref="B8"/>
    </sheetView>
  </sheetViews>
  <sheetFormatPr baseColWidth="10" defaultColWidth="8.6640625" defaultRowHeight="15" customHeight="1" x14ac:dyDescent="0.2"/>
  <cols>
    <col min="1" max="1" width="35" customWidth="1"/>
    <col min="2" max="9" width="18" customWidth="1"/>
  </cols>
  <sheetData>
    <row r="1" spans="1:9" ht="18" x14ac:dyDescent="0.2">
      <c r="A1" s="1" t="s">
        <v>34</v>
      </c>
    </row>
    <row r="2" spans="1:9" x14ac:dyDescent="0.2">
      <c r="A2" s="2" t="s">
        <v>35</v>
      </c>
    </row>
    <row r="4" spans="1:9" ht="34.5" customHeight="1" x14ac:dyDescent="0.2">
      <c r="A4" s="3"/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</row>
    <row r="6" spans="1:9" x14ac:dyDescent="0.2">
      <c r="A6" s="15" t="s">
        <v>44</v>
      </c>
      <c r="B6" s="16"/>
      <c r="C6" s="16"/>
      <c r="D6" s="16"/>
      <c r="E6" s="16"/>
      <c r="F6" s="16"/>
      <c r="G6" s="16"/>
      <c r="H6" s="16"/>
      <c r="I6" s="16"/>
    </row>
    <row r="7" spans="1:9" x14ac:dyDescent="0.2">
      <c r="A7" s="4" t="s">
        <v>45</v>
      </c>
      <c r="B7" s="18">
        <f>Assumptions!D24</f>
        <v>3940388</v>
      </c>
    </row>
    <row r="8" spans="1:9" x14ac:dyDescent="0.2">
      <c r="A8" s="4" t="s">
        <v>46</v>
      </c>
      <c r="B8" s="18">
        <f>Assumptions!B28</f>
        <v>33250000</v>
      </c>
    </row>
    <row r="9" spans="1:9" x14ac:dyDescent="0.2">
      <c r="A9" s="4" t="s">
        <v>47</v>
      </c>
      <c r="B9" s="18">
        <f>(B7+B8)*Assumptions!B68</f>
        <v>5578558.2000000002</v>
      </c>
    </row>
    <row r="10" spans="1:9" x14ac:dyDescent="0.2">
      <c r="A10" s="4" t="s">
        <v>48</v>
      </c>
      <c r="B10" s="18">
        <f>(B7+B8)*Assumptions!B69</f>
        <v>3719038.8000000003</v>
      </c>
    </row>
    <row r="11" spans="1:9" x14ac:dyDescent="0.2">
      <c r="A11" s="4" t="s">
        <v>49</v>
      </c>
      <c r="B11" s="18">
        <f>Assumptions!D30*Assumptions!B27</f>
        <v>1750000</v>
      </c>
    </row>
    <row r="12" spans="1:9" x14ac:dyDescent="0.2">
      <c r="A12" s="4" t="s">
        <v>50</v>
      </c>
      <c r="C12" s="18">
        <f>Assumptions!B31*Assumptions!D28*Assumptions!B27</f>
        <v>148750.00000000003</v>
      </c>
    </row>
    <row r="13" spans="1:9" x14ac:dyDescent="0.2">
      <c r="A13" s="10" t="s">
        <v>51</v>
      </c>
      <c r="B13" s="19">
        <f>SUM(B7:B12)</f>
        <v>48237985</v>
      </c>
      <c r="C13" s="19">
        <f>SUM(C7:C12)</f>
        <v>148750.00000000003</v>
      </c>
      <c r="D13" s="20"/>
      <c r="E13" s="20"/>
      <c r="F13" s="20"/>
      <c r="G13" s="20"/>
      <c r="H13" s="20"/>
      <c r="I13" s="19">
        <f>SUM(B13:H13)</f>
        <v>48386735</v>
      </c>
    </row>
    <row r="15" spans="1:9" x14ac:dyDescent="0.2">
      <c r="A15" s="15" t="s">
        <v>52</v>
      </c>
      <c r="B15" s="16"/>
      <c r="C15" s="16"/>
      <c r="D15" s="16"/>
      <c r="E15" s="16"/>
      <c r="F15" s="16"/>
      <c r="G15" s="16"/>
      <c r="H15" s="16"/>
      <c r="I15" s="16"/>
    </row>
    <row r="16" spans="1:9" x14ac:dyDescent="0.2">
      <c r="A16" s="4" t="s">
        <v>53</v>
      </c>
      <c r="B16" s="18">
        <f>Assumptions!D19</f>
        <v>1047633</v>
      </c>
      <c r="C16" s="18">
        <f>Assumptions!D19*0.25</f>
        <v>261908.25</v>
      </c>
    </row>
    <row r="17" spans="1:9" ht="30" x14ac:dyDescent="0.2">
      <c r="A17" s="4" t="s">
        <v>54</v>
      </c>
      <c r="C17" s="18">
        <f>Assumptions!D28*Assumptions!B27*0.5</f>
        <v>1487500</v>
      </c>
      <c r="D17" s="18">
        <f>C17*(1+Assumptions!D32)</f>
        <v>1524687.4999999998</v>
      </c>
      <c r="E17" s="18">
        <f>D17*(1+Assumptions!D32)</f>
        <v>1562804.6874999995</v>
      </c>
      <c r="F17" s="18">
        <f>E17*(1+Assumptions!D32)</f>
        <v>1601874.8046874993</v>
      </c>
      <c r="G17" s="18">
        <f>F17*(1+Assumptions!D32)</f>
        <v>1641921.6748046866</v>
      </c>
      <c r="H17" s="18">
        <f>G17*(1+Assumptions!D32)</f>
        <v>1682969.7166748035</v>
      </c>
    </row>
    <row r="18" spans="1:9" x14ac:dyDescent="0.2">
      <c r="A18" s="4" t="s">
        <v>55</v>
      </c>
      <c r="C18" s="18">
        <f>-C17*(1-Assumptions!B29)</f>
        <v>-74375.000000000073</v>
      </c>
      <c r="D18" s="18">
        <f>-D17*(1-Assumptions!B29)</f>
        <v>-76234.375000000058</v>
      </c>
      <c r="E18" s="18">
        <f>-E17*(1-Assumptions!B29)</f>
        <v>-78140.234375000044</v>
      </c>
      <c r="F18" s="18">
        <f>-F17*(1-Assumptions!B29)</f>
        <v>-80093.740234375029</v>
      </c>
      <c r="G18" s="18">
        <f>-G17*(1-Assumptions!B29)</f>
        <v>-82096.083740234404</v>
      </c>
      <c r="H18" s="18">
        <f>-H17*(1-Assumptions!B29)</f>
        <v>-84148.485833740255</v>
      </c>
    </row>
    <row r="19" spans="1:9" x14ac:dyDescent="0.2">
      <c r="A19" s="10" t="s">
        <v>56</v>
      </c>
      <c r="B19" s="19">
        <f t="shared" ref="B19:I19" si="0">SUM(B16:B18)</f>
        <v>1047633</v>
      </c>
      <c r="C19" s="19">
        <f t="shared" si="0"/>
        <v>1675033.25</v>
      </c>
      <c r="D19" s="19">
        <f t="shared" si="0"/>
        <v>1448453.1249999998</v>
      </c>
      <c r="E19" s="19">
        <f t="shared" si="0"/>
        <v>1484664.4531249995</v>
      </c>
      <c r="F19" s="19">
        <f t="shared" si="0"/>
        <v>1521781.0644531243</v>
      </c>
      <c r="G19" s="19">
        <f t="shared" si="0"/>
        <v>1559825.5910644522</v>
      </c>
      <c r="H19" s="19">
        <f t="shared" si="0"/>
        <v>1598821.2308410632</v>
      </c>
      <c r="I19" s="19">
        <f t="shared" si="0"/>
        <v>0</v>
      </c>
    </row>
    <row r="21" spans="1:9" x14ac:dyDescent="0.2">
      <c r="A21" s="15" t="s">
        <v>57</v>
      </c>
      <c r="B21" s="16"/>
      <c r="C21" s="16"/>
      <c r="D21" s="16"/>
      <c r="E21" s="16"/>
      <c r="F21" s="16"/>
      <c r="G21" s="16"/>
      <c r="H21" s="16"/>
      <c r="I21" s="16"/>
    </row>
    <row r="22" spans="1:9" x14ac:dyDescent="0.2">
      <c r="A22" s="4" t="s">
        <v>58</v>
      </c>
      <c r="B22" s="18">
        <f>Assumptions!B64*Assumptions!B11</f>
        <v>478357</v>
      </c>
      <c r="C22" s="18">
        <f>Assumptions!B64*Assumptions!B11</f>
        <v>478357</v>
      </c>
      <c r="D22" s="18">
        <f>Assumptions!B64*Assumptions!B10</f>
        <v>1028516.5</v>
      </c>
      <c r="E22" s="18">
        <f>Assumptions!B64*Assumptions!B10</f>
        <v>1028516.5</v>
      </c>
      <c r="F22" s="18">
        <f>Assumptions!B64*Assumptions!B10</f>
        <v>1028516.5</v>
      </c>
      <c r="G22" s="18">
        <f>Assumptions!B64*Assumptions!B10</f>
        <v>1028516.5</v>
      </c>
      <c r="H22" s="18">
        <f>Assumptions!B64*Assumptions!B10</f>
        <v>1028516.5</v>
      </c>
    </row>
    <row r="23" spans="1:9" x14ac:dyDescent="0.2">
      <c r="A23" s="4" t="s">
        <v>59</v>
      </c>
      <c r="B23" s="18">
        <f>0</f>
        <v>0</v>
      </c>
      <c r="C23" s="18">
        <f>0</f>
        <v>0</v>
      </c>
      <c r="D23" s="18">
        <f>Assumptions!B65*Assumptions!B27</f>
        <v>525000</v>
      </c>
      <c r="E23" s="18">
        <f>Assumptions!B65*Assumptions!B27</f>
        <v>525000</v>
      </c>
      <c r="F23" s="18">
        <f>Assumptions!B65*Assumptions!B27</f>
        <v>525000</v>
      </c>
      <c r="G23" s="18">
        <f>Assumptions!B65*Assumptions!B27</f>
        <v>525000</v>
      </c>
      <c r="H23" s="18">
        <f>Assumptions!B65*Assumptions!B27</f>
        <v>525000</v>
      </c>
    </row>
    <row r="24" spans="1:9" x14ac:dyDescent="0.2">
      <c r="A24" s="4" t="s">
        <v>60</v>
      </c>
      <c r="B24" s="18">
        <f>Assumptions!B32*Assumptions!D7</f>
        <v>154122.5</v>
      </c>
      <c r="C24" s="18">
        <f>0</f>
        <v>0</v>
      </c>
      <c r="D24" s="18">
        <f>Assumptions!B32*Assumptions!B27</f>
        <v>875000</v>
      </c>
      <c r="E24" s="18">
        <f>Assumptions!B32*Assumptions!B27</f>
        <v>875000</v>
      </c>
      <c r="F24" s="18">
        <f>Assumptions!B32*Assumptions!B27</f>
        <v>875000</v>
      </c>
      <c r="G24" s="18">
        <f>Assumptions!B32*Assumptions!B27</f>
        <v>875000</v>
      </c>
      <c r="H24" s="18">
        <f>Assumptions!B32*Assumptions!B27</f>
        <v>875000</v>
      </c>
    </row>
    <row r="25" spans="1:9" x14ac:dyDescent="0.2">
      <c r="A25" s="4" t="s">
        <v>61</v>
      </c>
      <c r="B25" s="18">
        <f>Assumptions!B66*MAX(B19,0)</f>
        <v>41905.32</v>
      </c>
      <c r="C25" s="18">
        <f>Assumptions!B66*MAX(C19,0)</f>
        <v>67001.33</v>
      </c>
      <c r="D25" s="18">
        <f>Assumptions!B66*MAX(D19,0)</f>
        <v>57938.124999999993</v>
      </c>
      <c r="E25" s="18">
        <f>Assumptions!B66*MAX(E19,0)</f>
        <v>59386.578124999985</v>
      </c>
      <c r="F25" s="18">
        <f>Assumptions!B66*MAX(F19,0)</f>
        <v>60871.242578124977</v>
      </c>
      <c r="G25" s="18">
        <f>Assumptions!B66*MAX(G19,0)</f>
        <v>62393.023642578089</v>
      </c>
      <c r="H25" s="18">
        <f>Assumptions!B66*MAX(H19,0)</f>
        <v>63952.849233642526</v>
      </c>
    </row>
    <row r="26" spans="1:9" x14ac:dyDescent="0.2">
      <c r="A26" s="10" t="s">
        <v>62</v>
      </c>
      <c r="B26" s="19">
        <f t="shared" ref="B26:H26" si="1">SUM(B22:B25)</f>
        <v>674384.82</v>
      </c>
      <c r="C26" s="19">
        <f t="shared" si="1"/>
        <v>545358.32999999996</v>
      </c>
      <c r="D26" s="19">
        <f t="shared" si="1"/>
        <v>2486454.625</v>
      </c>
      <c r="E26" s="19">
        <f t="shared" si="1"/>
        <v>2487903.078125</v>
      </c>
      <c r="F26" s="19">
        <f t="shared" si="1"/>
        <v>2489387.7425781251</v>
      </c>
      <c r="G26" s="19">
        <f t="shared" si="1"/>
        <v>2490909.5236425782</v>
      </c>
      <c r="H26" s="19">
        <f t="shared" si="1"/>
        <v>2492469.3492336427</v>
      </c>
      <c r="I26" s="20"/>
    </row>
    <row r="28" spans="1:9" x14ac:dyDescent="0.2">
      <c r="A28" s="15" t="s">
        <v>63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2">
      <c r="A29" s="10" t="s">
        <v>64</v>
      </c>
      <c r="B29" s="21">
        <f t="shared" ref="B29:H29" si="2">B19-B26</f>
        <v>373248.18000000005</v>
      </c>
      <c r="C29" s="21">
        <f t="shared" si="2"/>
        <v>1129674.92</v>
      </c>
      <c r="D29" s="21">
        <f t="shared" si="2"/>
        <v>-1038001.5000000002</v>
      </c>
      <c r="E29" s="21">
        <f t="shared" si="2"/>
        <v>-1003238.6250000005</v>
      </c>
      <c r="F29" s="21">
        <f t="shared" si="2"/>
        <v>-967606.67812500079</v>
      </c>
      <c r="G29" s="21">
        <f t="shared" si="2"/>
        <v>-931083.93257812597</v>
      </c>
      <c r="H29" s="21">
        <f t="shared" si="2"/>
        <v>-893648.11839257949</v>
      </c>
      <c r="I29" s="22"/>
    </row>
    <row r="31" spans="1:9" x14ac:dyDescent="0.2">
      <c r="A31" s="15" t="s">
        <v>65</v>
      </c>
      <c r="B31" s="16"/>
      <c r="C31" s="16"/>
      <c r="D31" s="16"/>
      <c r="E31" s="16"/>
      <c r="F31" s="16"/>
      <c r="G31" s="16"/>
      <c r="H31" s="16"/>
      <c r="I31" s="16"/>
    </row>
    <row r="32" spans="1:9" x14ac:dyDescent="0.2">
      <c r="A32" s="4" t="s">
        <v>66</v>
      </c>
      <c r="B32" s="18">
        <f>Assumptions!D17</f>
        <v>1685970</v>
      </c>
      <c r="C32" s="18">
        <f>Assumptions!D17</f>
        <v>1685970</v>
      </c>
      <c r="D32" s="18">
        <f>Assumptions!D17</f>
        <v>1685970</v>
      </c>
      <c r="E32" s="18">
        <f>Assumptions!D17</f>
        <v>1685970</v>
      </c>
      <c r="F32" s="18">
        <f>Assumptions!D17</f>
        <v>1685970</v>
      </c>
      <c r="G32" s="18">
        <f>Assumptions!D17</f>
        <v>1685970</v>
      </c>
      <c r="H32" s="18">
        <f>Assumptions!D17</f>
        <v>1685970</v>
      </c>
    </row>
    <row r="33" spans="1:9" x14ac:dyDescent="0.2">
      <c r="A33" s="10" t="s">
        <v>67</v>
      </c>
      <c r="B33" s="19">
        <f t="shared" ref="B33:H33" si="3">B29-B32</f>
        <v>-1312721.8199999998</v>
      </c>
      <c r="C33" s="19">
        <f t="shared" si="3"/>
        <v>-556295.08000000007</v>
      </c>
      <c r="D33" s="19">
        <f t="shared" si="3"/>
        <v>-2723971.5</v>
      </c>
      <c r="E33" s="19">
        <f t="shared" si="3"/>
        <v>-2689208.6250000005</v>
      </c>
      <c r="F33" s="19">
        <f t="shared" si="3"/>
        <v>-2653576.6781250006</v>
      </c>
      <c r="G33" s="19">
        <f t="shared" si="3"/>
        <v>-2617053.932578126</v>
      </c>
      <c r="H33" s="19">
        <f t="shared" si="3"/>
        <v>-2579618.1183925793</v>
      </c>
      <c r="I33" s="20"/>
    </row>
    <row r="35" spans="1:9" x14ac:dyDescent="0.2">
      <c r="A35" s="15" t="s">
        <v>68</v>
      </c>
      <c r="B35" s="16"/>
      <c r="C35" s="16"/>
      <c r="D35" s="16"/>
      <c r="E35" s="16"/>
      <c r="F35" s="16"/>
      <c r="G35" s="16"/>
      <c r="H35" s="16"/>
      <c r="I35" s="16"/>
    </row>
    <row r="36" spans="1:9" x14ac:dyDescent="0.2">
      <c r="A36" s="4" t="s">
        <v>8</v>
      </c>
      <c r="I36" s="5">
        <f>H29</f>
        <v>-893648.11839257949</v>
      </c>
    </row>
    <row r="37" spans="1:9" x14ac:dyDescent="0.2">
      <c r="A37" s="4" t="s">
        <v>69</v>
      </c>
      <c r="I37" s="8">
        <f>Assumptions!D29</f>
        <v>0.06</v>
      </c>
    </row>
    <row r="38" spans="1:9" x14ac:dyDescent="0.2">
      <c r="A38" s="4" t="s">
        <v>11</v>
      </c>
      <c r="I38" s="18">
        <f>I36/I37</f>
        <v>-14894135.306542993</v>
      </c>
    </row>
    <row r="39" spans="1:9" x14ac:dyDescent="0.2">
      <c r="A39" s="4" t="s">
        <v>70</v>
      </c>
      <c r="I39" s="18">
        <f>-I38*Assumptions!B67</f>
        <v>297882.70613085985</v>
      </c>
    </row>
    <row r="40" spans="1:9" x14ac:dyDescent="0.2">
      <c r="A40" s="4" t="s">
        <v>71</v>
      </c>
      <c r="I40" s="18">
        <f>I38+I39</f>
        <v>-14596252.600412132</v>
      </c>
    </row>
    <row r="41" spans="1:9" x14ac:dyDescent="0.2">
      <c r="A41" s="4" t="s">
        <v>72</v>
      </c>
      <c r="I41" s="18">
        <f>-Assumptions!B16</f>
        <v>-25938000</v>
      </c>
    </row>
    <row r="42" spans="1:9" x14ac:dyDescent="0.2">
      <c r="A42" s="10" t="s">
        <v>73</v>
      </c>
      <c r="B42" s="20"/>
      <c r="C42" s="20"/>
      <c r="D42" s="20"/>
      <c r="E42" s="20"/>
      <c r="F42" s="20"/>
      <c r="G42" s="20"/>
      <c r="H42" s="20"/>
      <c r="I42" s="19">
        <f>I40+I41</f>
        <v>-40534252.60041213</v>
      </c>
    </row>
    <row r="44" spans="1:9" x14ac:dyDescent="0.2">
      <c r="A44" s="15" t="s">
        <v>74</v>
      </c>
      <c r="B44" s="16"/>
      <c r="C44" s="16"/>
      <c r="D44" s="16"/>
      <c r="E44" s="16"/>
      <c r="F44" s="16"/>
      <c r="G44" s="16"/>
      <c r="H44" s="16"/>
      <c r="I44" s="16"/>
    </row>
    <row r="45" spans="1:9" x14ac:dyDescent="0.2">
      <c r="A45" s="4" t="s">
        <v>75</v>
      </c>
      <c r="B45" s="18">
        <f t="shared" ref="B45:H45" si="4">B33-B13</f>
        <v>-49550706.82</v>
      </c>
      <c r="C45" s="18">
        <f t="shared" si="4"/>
        <v>-705045.08000000007</v>
      </c>
      <c r="D45" s="18">
        <f t="shared" si="4"/>
        <v>-2723971.5</v>
      </c>
      <c r="E45" s="18">
        <f t="shared" si="4"/>
        <v>-2689208.6250000005</v>
      </c>
      <c r="F45" s="18">
        <f t="shared" si="4"/>
        <v>-2653576.6781250006</v>
      </c>
      <c r="G45" s="18">
        <f t="shared" si="4"/>
        <v>-2617053.932578126</v>
      </c>
      <c r="H45" s="18">
        <f t="shared" si="4"/>
        <v>-2579618.1183925793</v>
      </c>
      <c r="I45" s="18">
        <f>H33-H13+I42</f>
        <v>-43113870.71880471</v>
      </c>
    </row>
    <row r="46" spans="1:9" x14ac:dyDescent="0.2">
      <c r="A46" s="4" t="s">
        <v>76</v>
      </c>
      <c r="B46" s="18">
        <f>B45</f>
        <v>-49550706.82</v>
      </c>
      <c r="C46" s="18">
        <f t="shared" ref="C46:I46" si="5">B46+C45</f>
        <v>-50255751.899999999</v>
      </c>
      <c r="D46" s="18">
        <f t="shared" si="5"/>
        <v>-52979723.399999999</v>
      </c>
      <c r="E46" s="18">
        <f t="shared" si="5"/>
        <v>-55668932.024999999</v>
      </c>
      <c r="F46" s="18">
        <f t="shared" si="5"/>
        <v>-58322508.703125</v>
      </c>
      <c r="G46" s="18">
        <f t="shared" si="5"/>
        <v>-60939562.635703124</v>
      </c>
      <c r="H46" s="18">
        <f t="shared" si="5"/>
        <v>-63519180.754095703</v>
      </c>
      <c r="I46" s="18">
        <f t="shared" si="5"/>
        <v>-106633051.47290042</v>
      </c>
    </row>
    <row r="48" spans="1:9" x14ac:dyDescent="0.2">
      <c r="A48" s="7" t="s">
        <v>7</v>
      </c>
      <c r="B48" s="18">
        <f>I13</f>
        <v>48386735</v>
      </c>
    </row>
    <row r="49" spans="1:2" x14ac:dyDescent="0.2">
      <c r="A49" s="7" t="s">
        <v>8</v>
      </c>
      <c r="B49" s="18">
        <f>H29</f>
        <v>-893648.11839257949</v>
      </c>
    </row>
    <row r="50" spans="1:2" x14ac:dyDescent="0.2">
      <c r="A50" s="7" t="s">
        <v>77</v>
      </c>
      <c r="B50" s="23">
        <f>IF(B48&lt;&gt;0,B49/B48,0)</f>
        <v>-1.8468865865667098E-2</v>
      </c>
    </row>
    <row r="51" spans="1:2" x14ac:dyDescent="0.2">
      <c r="A51" s="7" t="s">
        <v>78</v>
      </c>
      <c r="B51" s="23">
        <f>B50-Assumptions!D29</f>
        <v>-7.8468865865667092E-2</v>
      </c>
    </row>
    <row r="52" spans="1:2" x14ac:dyDescent="0.2">
      <c r="A52" s="7" t="s">
        <v>11</v>
      </c>
      <c r="B52" s="18">
        <f>I38</f>
        <v>-14894135.306542993</v>
      </c>
    </row>
    <row r="53" spans="1:2" ht="30" x14ac:dyDescent="0.2">
      <c r="A53" s="7" t="s">
        <v>79</v>
      </c>
      <c r="B53" s="18">
        <f>I42-I13</f>
        <v>-88920987.60041213</v>
      </c>
    </row>
    <row r="54" spans="1:2" x14ac:dyDescent="0.2">
      <c r="A54" s="7" t="s">
        <v>14</v>
      </c>
      <c r="B54" s="24">
        <f>IF(I13&lt;&gt;0,(I42+SUM(B33:H33))/I13,0)</f>
        <v>-1.1504537008853322</v>
      </c>
    </row>
    <row r="56" spans="1:2" x14ac:dyDescent="0.2">
      <c r="A56" s="7" t="s">
        <v>15</v>
      </c>
      <c r="B56" s="17" t="s">
        <v>80</v>
      </c>
    </row>
    <row r="57" spans="1:2" x14ac:dyDescent="0.2">
      <c r="A57" s="7" t="s">
        <v>16</v>
      </c>
      <c r="B57" s="17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I57"/>
  <sheetViews>
    <sheetView zoomScaleNormal="100" workbookViewId="0">
      <selection activeCell="C17" sqref="C17"/>
    </sheetView>
  </sheetViews>
  <sheetFormatPr baseColWidth="10" defaultColWidth="8.6640625" defaultRowHeight="15" customHeight="1" x14ac:dyDescent="0.2"/>
  <cols>
    <col min="1" max="1" width="35" customWidth="1"/>
    <col min="2" max="9" width="18" customWidth="1"/>
  </cols>
  <sheetData>
    <row r="1" spans="1:9" ht="18" x14ac:dyDescent="0.2">
      <c r="A1" s="1" t="s">
        <v>161</v>
      </c>
    </row>
    <row r="2" spans="1:9" x14ac:dyDescent="0.2">
      <c r="A2" s="2" t="s">
        <v>35</v>
      </c>
    </row>
    <row r="4" spans="1:9" ht="34.5" customHeight="1" x14ac:dyDescent="0.2">
      <c r="A4" s="3"/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</row>
    <row r="6" spans="1:9" x14ac:dyDescent="0.2">
      <c r="A6" s="15" t="s">
        <v>44</v>
      </c>
      <c r="B6" s="16"/>
      <c r="C6" s="16"/>
      <c r="D6" s="16"/>
      <c r="E6" s="16"/>
      <c r="F6" s="16"/>
      <c r="G6" s="16"/>
      <c r="H6" s="16"/>
      <c r="I6" s="16"/>
    </row>
    <row r="7" spans="1:9" x14ac:dyDescent="0.2">
      <c r="A7" s="4" t="s">
        <v>162</v>
      </c>
      <c r="B7" s="18">
        <f>Assumptions!B36</f>
        <v>7314750</v>
      </c>
    </row>
    <row r="8" spans="1:9" x14ac:dyDescent="0.2">
      <c r="A8" s="4" t="s">
        <v>163</v>
      </c>
      <c r="B8" s="30">
        <v>0</v>
      </c>
    </row>
    <row r="9" spans="1:9" x14ac:dyDescent="0.2">
      <c r="A9" s="4" t="s">
        <v>47</v>
      </c>
      <c r="B9" s="18">
        <f>(B7+B8)*Assumptions!B68</f>
        <v>1097212.5</v>
      </c>
    </row>
    <row r="10" spans="1:9" x14ac:dyDescent="0.2">
      <c r="A10" s="4" t="s">
        <v>48</v>
      </c>
      <c r="B10" s="18">
        <f>(B7+B8)*Assumptions!B69</f>
        <v>731475</v>
      </c>
    </row>
    <row r="11" spans="1:9" x14ac:dyDescent="0.2">
      <c r="A11" s="4" t="s">
        <v>49</v>
      </c>
      <c r="B11" s="18">
        <f>Assumptions!D38*Assumptions!B35</f>
        <v>3251000</v>
      </c>
    </row>
    <row r="12" spans="1:9" x14ac:dyDescent="0.2">
      <c r="A12" s="4" t="s">
        <v>50</v>
      </c>
      <c r="C12" s="18">
        <f>Assumptions!B39*Assumptions!D36*Assumptions!B35</f>
        <v>136542</v>
      </c>
    </row>
    <row r="13" spans="1:9" x14ac:dyDescent="0.2">
      <c r="A13" s="10" t="s">
        <v>51</v>
      </c>
      <c r="B13" s="19">
        <f>SUM(B7:B12)</f>
        <v>12394437.5</v>
      </c>
      <c r="C13" s="19">
        <f>SUM(C7:C12)</f>
        <v>136542</v>
      </c>
      <c r="D13" s="20"/>
      <c r="E13" s="20"/>
      <c r="F13" s="20"/>
      <c r="G13" s="20"/>
      <c r="H13" s="20"/>
      <c r="I13" s="19">
        <f>SUM(B13:H13)</f>
        <v>12530979.5</v>
      </c>
    </row>
    <row r="15" spans="1:9" x14ac:dyDescent="0.2">
      <c r="A15" s="15" t="s">
        <v>52</v>
      </c>
      <c r="B15" s="16"/>
      <c r="C15" s="16"/>
      <c r="D15" s="16"/>
      <c r="E15" s="16"/>
      <c r="F15" s="16"/>
      <c r="G15" s="16"/>
      <c r="H15" s="16"/>
      <c r="I15" s="16"/>
    </row>
    <row r="16" spans="1:9" x14ac:dyDescent="0.2">
      <c r="A16" s="4" t="s">
        <v>53</v>
      </c>
      <c r="B16" s="18">
        <f>Assumptions!D19</f>
        <v>1047633</v>
      </c>
      <c r="C16" s="18">
        <f>Assumptions!D19*0.25</f>
        <v>261908.25</v>
      </c>
    </row>
    <row r="17" spans="1:9" ht="30" x14ac:dyDescent="0.2">
      <c r="A17" s="4" t="s">
        <v>164</v>
      </c>
      <c r="C17" s="18">
        <f>Assumptions!D36*Assumptions!B35*0.5</f>
        <v>1137850</v>
      </c>
      <c r="D17" s="18">
        <f>C17*(1+Assumptions!D40)</f>
        <v>1166296.25</v>
      </c>
      <c r="E17" s="18">
        <f>D17*(1+Assumptions!D40)</f>
        <v>1195453.65625</v>
      </c>
      <c r="F17" s="18">
        <f>E17*(1+Assumptions!D40)</f>
        <v>1225339.9976562499</v>
      </c>
      <c r="G17" s="18">
        <f>F17*(1+Assumptions!D40)</f>
        <v>1255973.497597656</v>
      </c>
      <c r="H17" s="18">
        <f>G17*(1+Assumptions!D40)</f>
        <v>1287372.8350375972</v>
      </c>
    </row>
    <row r="18" spans="1:9" x14ac:dyDescent="0.2">
      <c r="A18" s="4" t="s">
        <v>55</v>
      </c>
      <c r="C18" s="18">
        <f>-C17*(1-Assumptions!B37)</f>
        <v>-170677.50000000003</v>
      </c>
      <c r="D18" s="18">
        <f>-D17*(1-Assumptions!B37)</f>
        <v>-174944.43750000003</v>
      </c>
      <c r="E18" s="18">
        <f>-E17*(1-Assumptions!B37)</f>
        <v>-179318.04843750002</v>
      </c>
      <c r="F18" s="18">
        <f>-F17*(1-Assumptions!B37)</f>
        <v>-183800.99964843752</v>
      </c>
      <c r="G18" s="18">
        <f>-G17*(1-Assumptions!B37)</f>
        <v>-188396.02463964841</v>
      </c>
      <c r="H18" s="18">
        <f>-H17*(1-Assumptions!B37)</f>
        <v>-193105.92525563962</v>
      </c>
    </row>
    <row r="19" spans="1:9" x14ac:dyDescent="0.2">
      <c r="A19" s="10" t="s">
        <v>56</v>
      </c>
      <c r="B19" s="19">
        <f t="shared" ref="B19:I19" si="0">SUM(B16:B18)</f>
        <v>1047633</v>
      </c>
      <c r="C19" s="19">
        <f t="shared" si="0"/>
        <v>1229080.75</v>
      </c>
      <c r="D19" s="19">
        <f t="shared" si="0"/>
        <v>991351.8125</v>
      </c>
      <c r="E19" s="19">
        <f t="shared" si="0"/>
        <v>1016135.6078125</v>
      </c>
      <c r="F19" s="19">
        <f t="shared" si="0"/>
        <v>1041538.9980078124</v>
      </c>
      <c r="G19" s="19">
        <f t="shared" si="0"/>
        <v>1067577.4729580076</v>
      </c>
      <c r="H19" s="19">
        <f t="shared" si="0"/>
        <v>1094266.9097819575</v>
      </c>
      <c r="I19" s="19">
        <f t="shared" si="0"/>
        <v>0</v>
      </c>
    </row>
    <row r="21" spans="1:9" x14ac:dyDescent="0.2">
      <c r="A21" s="15" t="s">
        <v>57</v>
      </c>
      <c r="B21" s="16"/>
      <c r="C21" s="16"/>
      <c r="D21" s="16"/>
      <c r="E21" s="16"/>
      <c r="F21" s="16"/>
      <c r="G21" s="16"/>
      <c r="H21" s="16"/>
      <c r="I21" s="16"/>
    </row>
    <row r="22" spans="1:9" x14ac:dyDescent="0.2">
      <c r="A22" s="4" t="s">
        <v>58</v>
      </c>
      <c r="B22" s="18">
        <f>Assumptions!B64*Assumptions!B11</f>
        <v>478357</v>
      </c>
      <c r="C22" s="18">
        <f>Assumptions!B64*Assumptions!B10</f>
        <v>1028516.5</v>
      </c>
      <c r="D22" s="18">
        <f>Assumptions!B64*Assumptions!B10</f>
        <v>1028516.5</v>
      </c>
      <c r="E22" s="18">
        <f>Assumptions!B64*Assumptions!B10</f>
        <v>1028516.5</v>
      </c>
      <c r="F22" s="18">
        <f>Assumptions!B64*Assumptions!B10</f>
        <v>1028516.5</v>
      </c>
      <c r="G22" s="18">
        <f>Assumptions!B64*Assumptions!B10</f>
        <v>1028516.5</v>
      </c>
      <c r="H22" s="18">
        <f>Assumptions!B64*Assumptions!B10</f>
        <v>1028516.5</v>
      </c>
    </row>
    <row r="23" spans="1:9" x14ac:dyDescent="0.2">
      <c r="A23" s="4" t="s">
        <v>59</v>
      </c>
      <c r="B23" s="18">
        <f>0</f>
        <v>0</v>
      </c>
      <c r="C23" s="18">
        <f>Assumptions!B65*Assumptions!B35</f>
        <v>243825</v>
      </c>
      <c r="D23" s="18">
        <f>Assumptions!B65*Assumptions!B35</f>
        <v>243825</v>
      </c>
      <c r="E23" s="18">
        <f>Assumptions!B65*Assumptions!B35</f>
        <v>243825</v>
      </c>
      <c r="F23" s="18">
        <f>Assumptions!B65*Assumptions!B35</f>
        <v>243825</v>
      </c>
      <c r="G23" s="18">
        <f>Assumptions!B65*Assumptions!B35</f>
        <v>243825</v>
      </c>
      <c r="H23" s="18">
        <f>Assumptions!B65*Assumptions!B35</f>
        <v>243825</v>
      </c>
    </row>
    <row r="24" spans="1:9" x14ac:dyDescent="0.2">
      <c r="A24" s="4" t="s">
        <v>60</v>
      </c>
      <c r="B24" s="18">
        <f>Assumptions!B32*Assumptions!D7</f>
        <v>154122.5</v>
      </c>
      <c r="C24" s="18">
        <f>Assumptions!B40*Assumptions!B35</f>
        <v>1056575</v>
      </c>
      <c r="D24" s="18">
        <f>Assumptions!B40*Assumptions!B35</f>
        <v>1056575</v>
      </c>
      <c r="E24" s="18">
        <f>Assumptions!B40*Assumptions!B35</f>
        <v>1056575</v>
      </c>
      <c r="F24" s="18">
        <f>Assumptions!B40*Assumptions!B35</f>
        <v>1056575</v>
      </c>
      <c r="G24" s="18">
        <f>Assumptions!B40*Assumptions!B35</f>
        <v>1056575</v>
      </c>
      <c r="H24" s="18">
        <f>Assumptions!B40*Assumptions!B35</f>
        <v>1056575</v>
      </c>
    </row>
    <row r="25" spans="1:9" x14ac:dyDescent="0.2">
      <c r="A25" s="4" t="s">
        <v>61</v>
      </c>
      <c r="B25" s="18">
        <f>Assumptions!B66*MAX(B19,0)</f>
        <v>41905.32</v>
      </c>
      <c r="C25" s="18">
        <f>Assumptions!B66*MAX(C19,0)</f>
        <v>49163.23</v>
      </c>
      <c r="D25" s="18">
        <f>Assumptions!B66*MAX(D19,0)</f>
        <v>39654.072500000002</v>
      </c>
      <c r="E25" s="18">
        <f>Assumptions!B66*MAX(E19,0)</f>
        <v>40645.424312499999</v>
      </c>
      <c r="F25" s="18">
        <f>Assumptions!B66*MAX(F19,0)</f>
        <v>41661.559920312495</v>
      </c>
      <c r="G25" s="18">
        <f>Assumptions!B66*MAX(G19,0)</f>
        <v>42703.098918320306</v>
      </c>
      <c r="H25" s="18">
        <f>Assumptions!B66*MAX(H19,0)</f>
        <v>43770.676391278299</v>
      </c>
    </row>
    <row r="26" spans="1:9" x14ac:dyDescent="0.2">
      <c r="A26" s="10" t="s">
        <v>62</v>
      </c>
      <c r="B26" s="19">
        <f t="shared" ref="B26:H26" si="1">SUM(B22:B25)</f>
        <v>674384.82</v>
      </c>
      <c r="C26" s="19">
        <f t="shared" si="1"/>
        <v>2378079.73</v>
      </c>
      <c r="D26" s="19">
        <f t="shared" si="1"/>
        <v>2368570.5724999998</v>
      </c>
      <c r="E26" s="19">
        <f t="shared" si="1"/>
        <v>2369561.9243124998</v>
      </c>
      <c r="F26" s="19">
        <f t="shared" si="1"/>
        <v>2370578.0599203124</v>
      </c>
      <c r="G26" s="19">
        <f t="shared" si="1"/>
        <v>2371619.5989183201</v>
      </c>
      <c r="H26" s="19">
        <f t="shared" si="1"/>
        <v>2372687.1763912784</v>
      </c>
      <c r="I26" s="20"/>
    </row>
    <row r="28" spans="1:9" x14ac:dyDescent="0.2">
      <c r="A28" s="15" t="s">
        <v>63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2">
      <c r="A29" s="10" t="s">
        <v>64</v>
      </c>
      <c r="B29" s="21">
        <f t="shared" ref="B29:H29" si="2">B19-B26</f>
        <v>373248.18000000005</v>
      </c>
      <c r="C29" s="21">
        <f t="shared" si="2"/>
        <v>-1148998.98</v>
      </c>
      <c r="D29" s="21">
        <f t="shared" si="2"/>
        <v>-1377218.7599999998</v>
      </c>
      <c r="E29" s="21">
        <f t="shared" si="2"/>
        <v>-1353426.3164999997</v>
      </c>
      <c r="F29" s="21">
        <f t="shared" si="2"/>
        <v>-1329039.0619124998</v>
      </c>
      <c r="G29" s="21">
        <f t="shared" si="2"/>
        <v>-1304042.1259603126</v>
      </c>
      <c r="H29" s="21">
        <f t="shared" si="2"/>
        <v>-1278420.2666093209</v>
      </c>
      <c r="I29" s="22"/>
    </row>
    <row r="31" spans="1:9" x14ac:dyDescent="0.2">
      <c r="A31" s="15" t="s">
        <v>65</v>
      </c>
      <c r="B31" s="16"/>
      <c r="C31" s="16"/>
      <c r="D31" s="16"/>
      <c r="E31" s="16"/>
      <c r="F31" s="16"/>
      <c r="G31" s="16"/>
      <c r="H31" s="16"/>
      <c r="I31" s="16"/>
    </row>
    <row r="32" spans="1:9" x14ac:dyDescent="0.2">
      <c r="A32" s="4" t="s">
        <v>66</v>
      </c>
      <c r="B32" s="18">
        <f>Assumptions!D17</f>
        <v>1685970</v>
      </c>
      <c r="C32" s="18">
        <f>Assumptions!D17</f>
        <v>1685970</v>
      </c>
      <c r="D32" s="18">
        <f>Assumptions!D17</f>
        <v>1685970</v>
      </c>
      <c r="E32" s="18">
        <f>Assumptions!D17</f>
        <v>1685970</v>
      </c>
      <c r="F32" s="18">
        <f>Assumptions!D17</f>
        <v>1685970</v>
      </c>
      <c r="G32" s="18">
        <f>Assumptions!D17</f>
        <v>1685970</v>
      </c>
      <c r="H32" s="18">
        <f>Assumptions!D17</f>
        <v>1685970</v>
      </c>
    </row>
    <row r="33" spans="1:9" x14ac:dyDescent="0.2">
      <c r="A33" s="10" t="s">
        <v>67</v>
      </c>
      <c r="B33" s="19">
        <f t="shared" ref="B33:H33" si="3">B29-B32</f>
        <v>-1312721.8199999998</v>
      </c>
      <c r="C33" s="19">
        <f t="shared" si="3"/>
        <v>-2834968.98</v>
      </c>
      <c r="D33" s="19">
        <f t="shared" si="3"/>
        <v>-3063188.76</v>
      </c>
      <c r="E33" s="19">
        <f t="shared" si="3"/>
        <v>-3039396.3164999997</v>
      </c>
      <c r="F33" s="19">
        <f t="shared" si="3"/>
        <v>-3015009.0619124998</v>
      </c>
      <c r="G33" s="19">
        <f t="shared" si="3"/>
        <v>-2990012.1259603128</v>
      </c>
      <c r="H33" s="19">
        <f t="shared" si="3"/>
        <v>-2964390.2666093209</v>
      </c>
      <c r="I33" s="20"/>
    </row>
    <row r="35" spans="1:9" x14ac:dyDescent="0.2">
      <c r="A35" s="15" t="s">
        <v>68</v>
      </c>
      <c r="B35" s="16"/>
      <c r="C35" s="16"/>
      <c r="D35" s="16"/>
      <c r="E35" s="16"/>
      <c r="F35" s="16"/>
      <c r="G35" s="16"/>
      <c r="H35" s="16"/>
      <c r="I35" s="16"/>
    </row>
    <row r="36" spans="1:9" x14ac:dyDescent="0.2">
      <c r="A36" s="4" t="s">
        <v>8</v>
      </c>
      <c r="I36" s="5">
        <f>H29</f>
        <v>-1278420.2666093209</v>
      </c>
    </row>
    <row r="37" spans="1:9" x14ac:dyDescent="0.2">
      <c r="A37" s="4" t="s">
        <v>69</v>
      </c>
      <c r="I37" s="8">
        <f>Assumptions!D37</f>
        <v>7.4999999999999997E-2</v>
      </c>
    </row>
    <row r="38" spans="1:9" x14ac:dyDescent="0.2">
      <c r="A38" s="4" t="s">
        <v>11</v>
      </c>
      <c r="I38" s="18">
        <f>I36/I37</f>
        <v>-17045603.554790948</v>
      </c>
    </row>
    <row r="39" spans="1:9" x14ac:dyDescent="0.2">
      <c r="A39" s="4" t="s">
        <v>70</v>
      </c>
      <c r="I39" s="18">
        <f>-I38*Assumptions!B67</f>
        <v>340912.07109581894</v>
      </c>
    </row>
    <row r="40" spans="1:9" x14ac:dyDescent="0.2">
      <c r="A40" s="4" t="s">
        <v>71</v>
      </c>
      <c r="I40" s="18">
        <f>I38+I39</f>
        <v>-16704691.483695129</v>
      </c>
    </row>
    <row r="41" spans="1:9" x14ac:dyDescent="0.2">
      <c r="A41" s="4" t="s">
        <v>72</v>
      </c>
      <c r="I41" s="18">
        <f>-Assumptions!B16</f>
        <v>-25938000</v>
      </c>
    </row>
    <row r="42" spans="1:9" x14ac:dyDescent="0.2">
      <c r="A42" s="10" t="s">
        <v>73</v>
      </c>
      <c r="B42" s="20"/>
      <c r="C42" s="20"/>
      <c r="D42" s="20"/>
      <c r="E42" s="20"/>
      <c r="F42" s="20"/>
      <c r="G42" s="20"/>
      <c r="H42" s="20"/>
      <c r="I42" s="19">
        <f>I40+I41</f>
        <v>-42642691.483695127</v>
      </c>
    </row>
    <row r="44" spans="1:9" x14ac:dyDescent="0.2">
      <c r="A44" s="15" t="s">
        <v>74</v>
      </c>
      <c r="B44" s="16"/>
      <c r="C44" s="16"/>
      <c r="D44" s="16"/>
      <c r="E44" s="16"/>
      <c r="F44" s="16"/>
      <c r="G44" s="16"/>
      <c r="H44" s="16"/>
      <c r="I44" s="16"/>
    </row>
    <row r="45" spans="1:9" x14ac:dyDescent="0.2">
      <c r="A45" s="4" t="s">
        <v>75</v>
      </c>
      <c r="B45" s="18">
        <f t="shared" ref="B45:H45" si="4">B33-B13</f>
        <v>-13707159.32</v>
      </c>
      <c r="C45" s="18">
        <f t="shared" si="4"/>
        <v>-2971510.98</v>
      </c>
      <c r="D45" s="18">
        <f t="shared" si="4"/>
        <v>-3063188.76</v>
      </c>
      <c r="E45" s="18">
        <f t="shared" si="4"/>
        <v>-3039396.3164999997</v>
      </c>
      <c r="F45" s="18">
        <f t="shared" si="4"/>
        <v>-3015009.0619124998</v>
      </c>
      <c r="G45" s="18">
        <f t="shared" si="4"/>
        <v>-2990012.1259603128</v>
      </c>
      <c r="H45" s="18">
        <f t="shared" si="4"/>
        <v>-2964390.2666093209</v>
      </c>
      <c r="I45" s="18">
        <f>H33-H13+I42</f>
        <v>-45607081.750304446</v>
      </c>
    </row>
    <row r="46" spans="1:9" x14ac:dyDescent="0.2">
      <c r="A46" s="4" t="s">
        <v>76</v>
      </c>
      <c r="B46" s="18">
        <f>B45</f>
        <v>-13707159.32</v>
      </c>
      <c r="C46" s="18">
        <f t="shared" ref="C46:I46" si="5">B46+C45</f>
        <v>-16678670.300000001</v>
      </c>
      <c r="D46" s="18">
        <f t="shared" si="5"/>
        <v>-19741859.060000002</v>
      </c>
      <c r="E46" s="18">
        <f t="shared" si="5"/>
        <v>-22781255.376500003</v>
      </c>
      <c r="F46" s="18">
        <f t="shared" si="5"/>
        <v>-25796264.438412502</v>
      </c>
      <c r="G46" s="18">
        <f t="shared" si="5"/>
        <v>-28786276.564372815</v>
      </c>
      <c r="H46" s="18">
        <f t="shared" si="5"/>
        <v>-31750666.830982137</v>
      </c>
      <c r="I46" s="18">
        <f t="shared" si="5"/>
        <v>-77357748.581286579</v>
      </c>
    </row>
    <row r="48" spans="1:9" x14ac:dyDescent="0.2">
      <c r="A48" s="7" t="s">
        <v>7</v>
      </c>
      <c r="B48" s="18">
        <f>I13</f>
        <v>12530979.5</v>
      </c>
    </row>
    <row r="49" spans="1:2" x14ac:dyDescent="0.2">
      <c r="A49" s="7" t="s">
        <v>8</v>
      </c>
      <c r="B49" s="18">
        <f>H29</f>
        <v>-1278420.2666093209</v>
      </c>
    </row>
    <row r="50" spans="1:2" x14ac:dyDescent="0.2">
      <c r="A50" s="7" t="s">
        <v>77</v>
      </c>
      <c r="B50" s="23">
        <f>IF(B48&lt;&gt;0,B49/B48,0)</f>
        <v>-0.10202077711557352</v>
      </c>
    </row>
    <row r="51" spans="1:2" x14ac:dyDescent="0.2">
      <c r="A51" s="7" t="s">
        <v>78</v>
      </c>
      <c r="B51" s="23">
        <f>B50-Assumptions!D37</f>
        <v>-0.17702077711557351</v>
      </c>
    </row>
    <row r="52" spans="1:2" x14ac:dyDescent="0.2">
      <c r="A52" s="7" t="s">
        <v>11</v>
      </c>
      <c r="B52" s="18">
        <f>I38</f>
        <v>-17045603.554790948</v>
      </c>
    </row>
    <row r="53" spans="1:2" ht="30" x14ac:dyDescent="0.2">
      <c r="A53" s="7" t="s">
        <v>79</v>
      </c>
      <c r="B53" s="18">
        <f>I42-I13</f>
        <v>-55173670.983695127</v>
      </c>
    </row>
    <row r="54" spans="1:2" x14ac:dyDescent="0.2">
      <c r="A54" s="7" t="s">
        <v>14</v>
      </c>
      <c r="B54" s="24">
        <f>IF(I13&lt;&gt;0,(I42+SUM(B33:H33))/I13,0)</f>
        <v>-4.9367552484366657</v>
      </c>
    </row>
    <row r="56" spans="1:2" x14ac:dyDescent="0.2">
      <c r="A56" s="7" t="s">
        <v>15</v>
      </c>
      <c r="B56" s="17" t="s">
        <v>80</v>
      </c>
    </row>
    <row r="57" spans="1:2" x14ac:dyDescent="0.2">
      <c r="A57" s="7" t="s">
        <v>16</v>
      </c>
      <c r="B57" s="17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00"/>
  </sheetPr>
  <dimension ref="A1:I57"/>
  <sheetViews>
    <sheetView topLeftCell="A27" zoomScaleNormal="100" workbookViewId="0">
      <selection activeCell="A43" sqref="A43"/>
    </sheetView>
  </sheetViews>
  <sheetFormatPr baseColWidth="10" defaultColWidth="8.6640625" defaultRowHeight="15" customHeight="1" x14ac:dyDescent="0.2"/>
  <cols>
    <col min="1" max="1" width="35" customWidth="1"/>
    <col min="2" max="9" width="18" customWidth="1"/>
  </cols>
  <sheetData>
    <row r="1" spans="1:9" ht="18" x14ac:dyDescent="0.2">
      <c r="A1" s="1" t="s">
        <v>166</v>
      </c>
    </row>
    <row r="2" spans="1:9" x14ac:dyDescent="0.2">
      <c r="A2" s="2" t="s">
        <v>35</v>
      </c>
    </row>
    <row r="4" spans="1:9" ht="34.5" customHeight="1" x14ac:dyDescent="0.2">
      <c r="A4" s="3"/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</row>
    <row r="6" spans="1:9" x14ac:dyDescent="0.2">
      <c r="A6" s="15" t="s">
        <v>44</v>
      </c>
      <c r="B6" s="16"/>
      <c r="C6" s="16"/>
      <c r="D6" s="16"/>
      <c r="E6" s="16"/>
      <c r="F6" s="16"/>
      <c r="G6" s="16"/>
      <c r="H6" s="16"/>
      <c r="I6" s="16"/>
    </row>
    <row r="7" spans="1:9" x14ac:dyDescent="0.2">
      <c r="A7" s="4" t="s">
        <v>162</v>
      </c>
      <c r="B7" s="18">
        <f>Assumptions!B44</f>
        <v>24382500</v>
      </c>
    </row>
    <row r="8" spans="1:9" x14ac:dyDescent="0.2">
      <c r="A8" s="4" t="s">
        <v>163</v>
      </c>
      <c r="B8" s="18">
        <f>Assumptions!D48</f>
        <v>3500000</v>
      </c>
    </row>
    <row r="9" spans="1:9" x14ac:dyDescent="0.2">
      <c r="A9" s="4" t="s">
        <v>47</v>
      </c>
      <c r="B9" s="18">
        <f>(B7+B8)*Assumptions!B68</f>
        <v>4182375</v>
      </c>
    </row>
    <row r="10" spans="1:9" x14ac:dyDescent="0.2">
      <c r="A10" s="4" t="s">
        <v>48</v>
      </c>
      <c r="B10" s="18">
        <f>(B7+B8)*Assumptions!B69</f>
        <v>2788250</v>
      </c>
    </row>
    <row r="11" spans="1:9" x14ac:dyDescent="0.2">
      <c r="A11" s="4" t="s">
        <v>49</v>
      </c>
      <c r="B11" s="18">
        <f>Assumptions!D47*Assumptions!B43</f>
        <v>0</v>
      </c>
    </row>
    <row r="12" spans="1:9" x14ac:dyDescent="0.2">
      <c r="A12" s="4" t="s">
        <v>50</v>
      </c>
      <c r="C12" s="18">
        <f>Assumptions!B48*Assumptions!D44*Assumptions!B43</f>
        <v>552670</v>
      </c>
    </row>
    <row r="13" spans="1:9" x14ac:dyDescent="0.2">
      <c r="A13" s="10" t="s">
        <v>51</v>
      </c>
      <c r="B13" s="19">
        <f>SUM(B7:B12)</f>
        <v>34853125</v>
      </c>
      <c r="C13" s="19">
        <f>SUM(C7:C12)</f>
        <v>552670</v>
      </c>
      <c r="D13" s="20"/>
      <c r="E13" s="20"/>
      <c r="F13" s="20"/>
      <c r="G13" s="20"/>
      <c r="H13" s="20"/>
      <c r="I13" s="19">
        <f>SUM(B13:H13)</f>
        <v>35405795</v>
      </c>
    </row>
    <row r="15" spans="1:9" x14ac:dyDescent="0.2">
      <c r="A15" s="15" t="s">
        <v>52</v>
      </c>
      <c r="B15" s="16"/>
      <c r="C15" s="16"/>
      <c r="D15" s="16"/>
      <c r="E15" s="16"/>
      <c r="F15" s="16"/>
      <c r="G15" s="16"/>
      <c r="H15" s="16"/>
      <c r="I15" s="16"/>
    </row>
    <row r="16" spans="1:9" x14ac:dyDescent="0.2">
      <c r="A16" s="4" t="s">
        <v>53</v>
      </c>
      <c r="B16" s="18">
        <f>Assumptions!D19</f>
        <v>1047633</v>
      </c>
      <c r="C16" s="18">
        <f>Assumptions!D19*0.25</f>
        <v>261908.25</v>
      </c>
    </row>
    <row r="17" spans="1:9" x14ac:dyDescent="0.2">
      <c r="A17" s="4" t="s">
        <v>167</v>
      </c>
      <c r="C17" s="18">
        <f>Assumptions!D44*Assumptions!B46*0.5</f>
        <v>4145025</v>
      </c>
      <c r="D17" s="18">
        <f>C17*(1+Assumptions!B50)</f>
        <v>4269375.75</v>
      </c>
      <c r="E17" s="18">
        <f>D17*(1+Assumptions!B50)</f>
        <v>4397457.0225</v>
      </c>
      <c r="F17" s="18">
        <f>E17*(1+Assumptions!B50)</f>
        <v>4529380.7331750002</v>
      </c>
      <c r="G17" s="18">
        <f>F17*(1+Assumptions!B50)</f>
        <v>4665262.1551702507</v>
      </c>
      <c r="H17" s="18">
        <f>G17*(1+Assumptions!B50)</f>
        <v>4805220.0198253579</v>
      </c>
    </row>
    <row r="18" spans="1:9" x14ac:dyDescent="0.2">
      <c r="A18" s="4" t="s">
        <v>55</v>
      </c>
      <c r="C18" s="18">
        <f>-C17*(1-Assumptions!D45)</f>
        <v>-207251.25000000017</v>
      </c>
      <c r="D18" s="18">
        <f>-D17*(1-Assumptions!D45)</f>
        <v>-213468.78750000018</v>
      </c>
      <c r="E18" s="18">
        <f>-E17*(1-Assumptions!D45)</f>
        <v>-219872.85112500019</v>
      </c>
      <c r="F18" s="18">
        <f>-F17*(1-Assumptions!D45)</f>
        <v>-226469.03665875021</v>
      </c>
      <c r="G18" s="18">
        <f>-G17*(1-Assumptions!D45)</f>
        <v>-233263.10775851275</v>
      </c>
      <c r="H18" s="18">
        <f>-H17*(1-Assumptions!D45)</f>
        <v>-240261.00099126811</v>
      </c>
    </row>
    <row r="19" spans="1:9" x14ac:dyDescent="0.2">
      <c r="A19" s="10" t="s">
        <v>56</v>
      </c>
      <c r="B19" s="19">
        <f t="shared" ref="B19:I19" si="0">SUM(B16:B18)</f>
        <v>1047633</v>
      </c>
      <c r="C19" s="19">
        <f t="shared" si="0"/>
        <v>4199682</v>
      </c>
      <c r="D19" s="19">
        <f t="shared" si="0"/>
        <v>4055906.9624999999</v>
      </c>
      <c r="E19" s="19">
        <f t="shared" si="0"/>
        <v>4177584.1713749999</v>
      </c>
      <c r="F19" s="19">
        <f t="shared" si="0"/>
        <v>4302911.6965162503</v>
      </c>
      <c r="G19" s="19">
        <f t="shared" si="0"/>
        <v>4431999.047411738</v>
      </c>
      <c r="H19" s="19">
        <f t="shared" si="0"/>
        <v>4564959.0188340899</v>
      </c>
      <c r="I19" s="19">
        <f t="shared" si="0"/>
        <v>0</v>
      </c>
    </row>
    <row r="21" spans="1:9" x14ac:dyDescent="0.2">
      <c r="A21" s="15" t="s">
        <v>57</v>
      </c>
      <c r="B21" s="16"/>
      <c r="C21" s="16"/>
      <c r="D21" s="16"/>
      <c r="E21" s="16"/>
      <c r="F21" s="16"/>
      <c r="G21" s="16"/>
      <c r="H21" s="16"/>
      <c r="I21" s="16"/>
    </row>
    <row r="22" spans="1:9" x14ac:dyDescent="0.2">
      <c r="A22" s="4" t="s">
        <v>58</v>
      </c>
      <c r="B22" s="18">
        <f>Assumptions!B64*Assumptions!B11</f>
        <v>478357</v>
      </c>
      <c r="C22" s="18">
        <f>Assumptions!B64*Assumptions!B10</f>
        <v>1028516.5</v>
      </c>
      <c r="D22" s="18">
        <f>Assumptions!B64*Assumptions!B10</f>
        <v>1028516.5</v>
      </c>
      <c r="E22" s="18">
        <f>Assumptions!B64*Assumptions!B10</f>
        <v>1028516.5</v>
      </c>
      <c r="F22" s="18">
        <f>Assumptions!B64*Assumptions!B10</f>
        <v>1028516.5</v>
      </c>
      <c r="G22" s="18">
        <f>Assumptions!B64*Assumptions!B10</f>
        <v>1028516.5</v>
      </c>
      <c r="H22" s="18">
        <f>Assumptions!B64*Assumptions!B10</f>
        <v>1028516.5</v>
      </c>
    </row>
    <row r="23" spans="1:9" x14ac:dyDescent="0.2">
      <c r="A23" s="4" t="s">
        <v>59</v>
      </c>
      <c r="B23" s="18">
        <f>0</f>
        <v>0</v>
      </c>
      <c r="C23" s="18">
        <f>Assumptions!B65*Assumptions!B43</f>
        <v>243825</v>
      </c>
      <c r="D23" s="18">
        <f>Assumptions!B65*Assumptions!B43</f>
        <v>243825</v>
      </c>
      <c r="E23" s="18">
        <f>Assumptions!B65*Assumptions!B43</f>
        <v>243825</v>
      </c>
      <c r="F23" s="18">
        <f>Assumptions!B65*Assumptions!B43</f>
        <v>243825</v>
      </c>
      <c r="G23" s="18">
        <f>Assumptions!B65*Assumptions!B43</f>
        <v>243825</v>
      </c>
      <c r="H23" s="18">
        <f>Assumptions!B65*Assumptions!B43</f>
        <v>243825</v>
      </c>
    </row>
    <row r="24" spans="1:9" x14ac:dyDescent="0.2">
      <c r="A24" s="4" t="s">
        <v>60</v>
      </c>
      <c r="B24" s="18">
        <f>Assumptions!B32*Assumptions!D7</f>
        <v>154122.5</v>
      </c>
      <c r="C24" s="18">
        <f>Assumptions!B49*Assumptions!B46</f>
        <v>1462950</v>
      </c>
      <c r="D24" s="18">
        <f>Assumptions!B49*Assumptions!B46</f>
        <v>1462950</v>
      </c>
      <c r="E24" s="18">
        <f>Assumptions!B49*Assumptions!B46</f>
        <v>1462950</v>
      </c>
      <c r="F24" s="18">
        <f>Assumptions!B49*Assumptions!B46</f>
        <v>1462950</v>
      </c>
      <c r="G24" s="18">
        <f>Assumptions!B49*Assumptions!B46</f>
        <v>1462950</v>
      </c>
      <c r="H24" s="18">
        <f>Assumptions!B49*Assumptions!B46</f>
        <v>1462950</v>
      </c>
    </row>
    <row r="25" spans="1:9" x14ac:dyDescent="0.2">
      <c r="A25" s="4" t="s">
        <v>61</v>
      </c>
      <c r="B25" s="18">
        <f>Assumptions!B66*MAX(B19,0)</f>
        <v>41905.32</v>
      </c>
      <c r="C25" s="18">
        <f>Assumptions!B66*MAX(C19,0)</f>
        <v>167987.28</v>
      </c>
      <c r="D25" s="18">
        <f>Assumptions!B66*MAX(D19,0)</f>
        <v>162236.27849999999</v>
      </c>
      <c r="E25" s="18">
        <f>Assumptions!B66*MAX(E19,0)</f>
        <v>167103.366855</v>
      </c>
      <c r="F25" s="18">
        <f>Assumptions!B66*MAX(F19,0)</f>
        <v>172116.46786065001</v>
      </c>
      <c r="G25" s="18">
        <f>Assumptions!B66*MAX(G19,0)</f>
        <v>177279.96189646953</v>
      </c>
      <c r="H25" s="18">
        <f>Assumptions!B66*MAX(H19,0)</f>
        <v>182598.36075336361</v>
      </c>
    </row>
    <row r="26" spans="1:9" x14ac:dyDescent="0.2">
      <c r="A26" s="10" t="s">
        <v>62</v>
      </c>
      <c r="B26" s="19">
        <f t="shared" ref="B26:H26" si="1">SUM(B22:B25)</f>
        <v>674384.82</v>
      </c>
      <c r="C26" s="19">
        <f t="shared" si="1"/>
        <v>2903278.78</v>
      </c>
      <c r="D26" s="19">
        <f t="shared" si="1"/>
        <v>2897527.7785</v>
      </c>
      <c r="E26" s="19">
        <f t="shared" si="1"/>
        <v>2902394.8668550001</v>
      </c>
      <c r="F26" s="19">
        <f t="shared" si="1"/>
        <v>2907407.9678606498</v>
      </c>
      <c r="G26" s="19">
        <f t="shared" si="1"/>
        <v>2912571.4618964694</v>
      </c>
      <c r="H26" s="19">
        <f t="shared" si="1"/>
        <v>2917889.8607533635</v>
      </c>
      <c r="I26" s="20"/>
    </row>
    <row r="28" spans="1:9" x14ac:dyDescent="0.2">
      <c r="A28" s="15" t="s">
        <v>63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2">
      <c r="A29" s="10" t="s">
        <v>64</v>
      </c>
      <c r="B29" s="21">
        <f t="shared" ref="B29:H29" si="2">B19-B26</f>
        <v>373248.18000000005</v>
      </c>
      <c r="C29" s="21">
        <f t="shared" si="2"/>
        <v>1296403.2200000002</v>
      </c>
      <c r="D29" s="21">
        <f t="shared" si="2"/>
        <v>1158379.1839999999</v>
      </c>
      <c r="E29" s="21">
        <f t="shared" si="2"/>
        <v>1275189.3045199998</v>
      </c>
      <c r="F29" s="21">
        <f t="shared" si="2"/>
        <v>1395503.7286556005</v>
      </c>
      <c r="G29" s="21">
        <f t="shared" si="2"/>
        <v>1519427.5855152686</v>
      </c>
      <c r="H29" s="21">
        <f t="shared" si="2"/>
        <v>1647069.1580807264</v>
      </c>
      <c r="I29" s="22"/>
    </row>
    <row r="31" spans="1:9" x14ac:dyDescent="0.2">
      <c r="A31" s="15" t="s">
        <v>65</v>
      </c>
      <c r="B31" s="16"/>
      <c r="C31" s="16"/>
      <c r="D31" s="16"/>
      <c r="E31" s="16"/>
      <c r="F31" s="16"/>
      <c r="G31" s="16"/>
      <c r="H31" s="16"/>
      <c r="I31" s="16"/>
    </row>
    <row r="32" spans="1:9" x14ac:dyDescent="0.2">
      <c r="A32" s="4" t="s">
        <v>66</v>
      </c>
      <c r="B32" s="18">
        <f>Assumptions!D17</f>
        <v>1685970</v>
      </c>
      <c r="C32" s="18">
        <f>Assumptions!D17</f>
        <v>1685970</v>
      </c>
      <c r="D32" s="18">
        <f>Assumptions!D17</f>
        <v>1685970</v>
      </c>
      <c r="E32" s="18">
        <f>Assumptions!D17</f>
        <v>1685970</v>
      </c>
      <c r="F32" s="18">
        <f>Assumptions!D17</f>
        <v>1685970</v>
      </c>
      <c r="G32" s="18">
        <f>Assumptions!D17</f>
        <v>1685970</v>
      </c>
      <c r="H32" s="18">
        <f>Assumptions!D17</f>
        <v>1685970</v>
      </c>
    </row>
    <row r="33" spans="1:9" x14ac:dyDescent="0.2">
      <c r="A33" s="10" t="s">
        <v>67</v>
      </c>
      <c r="B33" s="19">
        <f t="shared" ref="B33:H33" si="3">B29-B32</f>
        <v>-1312721.8199999998</v>
      </c>
      <c r="C33" s="19">
        <f t="shared" si="3"/>
        <v>-389566.7799999998</v>
      </c>
      <c r="D33" s="19">
        <f t="shared" si="3"/>
        <v>-527590.81600000011</v>
      </c>
      <c r="E33" s="19">
        <f t="shared" si="3"/>
        <v>-410780.69548000023</v>
      </c>
      <c r="F33" s="19">
        <f t="shared" si="3"/>
        <v>-290466.27134439955</v>
      </c>
      <c r="G33" s="19">
        <f t="shared" si="3"/>
        <v>-166542.41448473139</v>
      </c>
      <c r="H33" s="19">
        <f t="shared" si="3"/>
        <v>-38900.841919273604</v>
      </c>
      <c r="I33" s="20"/>
    </row>
    <row r="35" spans="1:9" x14ac:dyDescent="0.2">
      <c r="A35" s="15" t="s">
        <v>68</v>
      </c>
      <c r="B35" s="16"/>
      <c r="C35" s="16"/>
      <c r="D35" s="16"/>
      <c r="E35" s="16"/>
      <c r="F35" s="16"/>
      <c r="G35" s="16"/>
      <c r="H35" s="16"/>
      <c r="I35" s="16"/>
    </row>
    <row r="36" spans="1:9" x14ac:dyDescent="0.2">
      <c r="A36" s="4" t="s">
        <v>8</v>
      </c>
      <c r="I36" s="5">
        <f>H29</f>
        <v>1647069.1580807264</v>
      </c>
    </row>
    <row r="37" spans="1:9" x14ac:dyDescent="0.2">
      <c r="A37" s="4" t="s">
        <v>69</v>
      </c>
      <c r="I37" s="8">
        <f>Assumptions!D46</f>
        <v>5.5E-2</v>
      </c>
    </row>
    <row r="38" spans="1:9" x14ac:dyDescent="0.2">
      <c r="A38" s="4" t="s">
        <v>11</v>
      </c>
      <c r="I38" s="18">
        <f>I36/I37</f>
        <v>29946711.965104118</v>
      </c>
    </row>
    <row r="39" spans="1:9" x14ac:dyDescent="0.2">
      <c r="A39" s="4" t="s">
        <v>70</v>
      </c>
      <c r="I39" s="18">
        <f>-I38*Assumptions!B67</f>
        <v>-598934.23930208234</v>
      </c>
    </row>
    <row r="40" spans="1:9" x14ac:dyDescent="0.2">
      <c r="A40" s="4" t="s">
        <v>71</v>
      </c>
      <c r="I40" s="18">
        <f>I38+I39</f>
        <v>29347777.725802034</v>
      </c>
    </row>
    <row r="41" spans="1:9" x14ac:dyDescent="0.2">
      <c r="A41" s="4" t="s">
        <v>72</v>
      </c>
      <c r="I41" s="18">
        <f>-Assumptions!B16</f>
        <v>-25938000</v>
      </c>
    </row>
    <row r="42" spans="1:9" x14ac:dyDescent="0.2">
      <c r="A42" s="10" t="s">
        <v>73</v>
      </c>
      <c r="B42" s="20"/>
      <c r="C42" s="20"/>
      <c r="D42" s="20"/>
      <c r="E42" s="20"/>
      <c r="F42" s="20"/>
      <c r="G42" s="20"/>
      <c r="H42" s="20"/>
      <c r="I42" s="19">
        <f>I40+I41</f>
        <v>3409777.7258020341</v>
      </c>
    </row>
    <row r="44" spans="1:9" x14ac:dyDescent="0.2">
      <c r="A44" s="15" t="s">
        <v>74</v>
      </c>
      <c r="B44" s="16"/>
      <c r="C44" s="16"/>
      <c r="D44" s="16"/>
      <c r="E44" s="16"/>
      <c r="F44" s="16"/>
      <c r="G44" s="16"/>
      <c r="H44" s="16"/>
      <c r="I44" s="16"/>
    </row>
    <row r="45" spans="1:9" x14ac:dyDescent="0.2">
      <c r="A45" s="4" t="s">
        <v>75</v>
      </c>
      <c r="B45" s="18">
        <f t="shared" ref="B45:H45" si="4">B33-B13</f>
        <v>-36165846.82</v>
      </c>
      <c r="C45" s="18">
        <f t="shared" si="4"/>
        <v>-942236.7799999998</v>
      </c>
      <c r="D45" s="18">
        <f t="shared" si="4"/>
        <v>-527590.81600000011</v>
      </c>
      <c r="E45" s="18">
        <f t="shared" si="4"/>
        <v>-410780.69548000023</v>
      </c>
      <c r="F45" s="18">
        <f t="shared" si="4"/>
        <v>-290466.27134439955</v>
      </c>
      <c r="G45" s="18">
        <f t="shared" si="4"/>
        <v>-166542.41448473139</v>
      </c>
      <c r="H45" s="18">
        <f t="shared" si="4"/>
        <v>-38900.841919273604</v>
      </c>
      <c r="I45" s="18">
        <f>H33-H13+I42</f>
        <v>3370876.8838827605</v>
      </c>
    </row>
    <row r="46" spans="1:9" x14ac:dyDescent="0.2">
      <c r="A46" s="4" t="s">
        <v>76</v>
      </c>
      <c r="B46" s="18">
        <f>B45</f>
        <v>-36165846.82</v>
      </c>
      <c r="C46" s="18">
        <f t="shared" ref="C46:I46" si="5">B46+C45</f>
        <v>-37108083.600000001</v>
      </c>
      <c r="D46" s="18">
        <f t="shared" si="5"/>
        <v>-37635674.416000001</v>
      </c>
      <c r="E46" s="18">
        <f t="shared" si="5"/>
        <v>-38046455.111479998</v>
      </c>
      <c r="F46" s="18">
        <f t="shared" si="5"/>
        <v>-38336921.382824399</v>
      </c>
      <c r="G46" s="18">
        <f t="shared" si="5"/>
        <v>-38503463.79730913</v>
      </c>
      <c r="H46" s="18">
        <f t="shared" si="5"/>
        <v>-38542364.639228404</v>
      </c>
      <c r="I46" s="18">
        <f t="shared" si="5"/>
        <v>-35171487.755345643</v>
      </c>
    </row>
    <row r="48" spans="1:9" x14ac:dyDescent="0.2">
      <c r="A48" s="7" t="s">
        <v>7</v>
      </c>
      <c r="B48" s="18">
        <f>I13</f>
        <v>35405795</v>
      </c>
    </row>
    <row r="49" spans="1:2" x14ac:dyDescent="0.2">
      <c r="A49" s="7" t="s">
        <v>8</v>
      </c>
      <c r="B49" s="18">
        <f>H29</f>
        <v>1647069.1580807264</v>
      </c>
    </row>
    <row r="50" spans="1:2" x14ac:dyDescent="0.2">
      <c r="A50" s="7" t="s">
        <v>77</v>
      </c>
      <c r="B50" s="23">
        <f>IF(B48&lt;&gt;0,B49/B48,0)</f>
        <v>4.6519762035585596E-2</v>
      </c>
    </row>
    <row r="51" spans="1:2" x14ac:dyDescent="0.2">
      <c r="A51" s="7" t="s">
        <v>78</v>
      </c>
      <c r="B51" s="23">
        <f>B50-Assumptions!D46</f>
        <v>-8.4802379644144041E-3</v>
      </c>
    </row>
    <row r="52" spans="1:2" x14ac:dyDescent="0.2">
      <c r="A52" s="7" t="s">
        <v>11</v>
      </c>
      <c r="B52" s="18">
        <f>I38</f>
        <v>29946711.965104118</v>
      </c>
    </row>
    <row r="53" spans="1:2" ht="30" x14ac:dyDescent="0.2">
      <c r="A53" s="7" t="s">
        <v>79</v>
      </c>
      <c r="B53" s="18">
        <f>I42-I13</f>
        <v>-31996017.274197966</v>
      </c>
    </row>
    <row r="54" spans="1:2" x14ac:dyDescent="0.2">
      <c r="A54" s="7" t="s">
        <v>14</v>
      </c>
      <c r="B54" s="24">
        <f>IF(I13&lt;&gt;0,(I42+SUM(B33:H33))/I13,0)</f>
        <v>7.7164793665452118E-3</v>
      </c>
    </row>
    <row r="56" spans="1:2" x14ac:dyDescent="0.2">
      <c r="A56" s="7" t="s">
        <v>15</v>
      </c>
      <c r="B56" s="17" t="s">
        <v>80</v>
      </c>
    </row>
    <row r="57" spans="1:2" x14ac:dyDescent="0.2">
      <c r="A57" s="7" t="s">
        <v>16</v>
      </c>
      <c r="B57" s="17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</sheetPr>
  <dimension ref="A1:I58"/>
  <sheetViews>
    <sheetView zoomScaleNormal="100" workbookViewId="0"/>
  </sheetViews>
  <sheetFormatPr baseColWidth="10" defaultColWidth="8.6640625" defaultRowHeight="15" customHeight="1" x14ac:dyDescent="0.2"/>
  <cols>
    <col min="1" max="1" width="35" customWidth="1"/>
    <col min="2" max="9" width="18" customWidth="1"/>
  </cols>
  <sheetData>
    <row r="1" spans="1:9" ht="18" x14ac:dyDescent="0.2">
      <c r="A1" s="1" t="s">
        <v>168</v>
      </c>
    </row>
    <row r="2" spans="1:9" x14ac:dyDescent="0.2">
      <c r="A2" s="2" t="s">
        <v>35</v>
      </c>
    </row>
    <row r="4" spans="1:9" ht="34.5" customHeight="1" x14ac:dyDescent="0.2">
      <c r="A4" s="3"/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</row>
    <row r="6" spans="1:9" x14ac:dyDescent="0.2">
      <c r="A6" s="15" t="s">
        <v>44</v>
      </c>
      <c r="B6" s="16"/>
      <c r="C6" s="16"/>
      <c r="D6" s="16"/>
      <c r="E6" s="16"/>
      <c r="F6" s="16"/>
      <c r="G6" s="16"/>
      <c r="H6" s="16"/>
      <c r="I6" s="16"/>
    </row>
    <row r="7" spans="1:9" x14ac:dyDescent="0.2">
      <c r="A7" s="4" t="s">
        <v>45</v>
      </c>
      <c r="B7" s="18">
        <f>Assumptions!D24</f>
        <v>3940388</v>
      </c>
    </row>
    <row r="8" spans="1:9" x14ac:dyDescent="0.2">
      <c r="A8" s="4" t="s">
        <v>46</v>
      </c>
      <c r="B8" s="18">
        <f>Assumptions!B55</f>
        <v>72000000</v>
      </c>
    </row>
    <row r="9" spans="1:9" x14ac:dyDescent="0.2">
      <c r="A9" s="4" t="s">
        <v>47</v>
      </c>
      <c r="B9" s="18">
        <f>(B7+B8)*Assumptions!B68</f>
        <v>11391058.199999999</v>
      </c>
    </row>
    <row r="10" spans="1:9" x14ac:dyDescent="0.2">
      <c r="A10" s="4" t="s">
        <v>48</v>
      </c>
      <c r="B10" s="18">
        <f>(B7+B8)*Assumptions!B69</f>
        <v>7594038.8000000007</v>
      </c>
    </row>
    <row r="11" spans="1:9" x14ac:dyDescent="0.2">
      <c r="A11" s="4" t="s">
        <v>169</v>
      </c>
      <c r="B11" s="30">
        <v>150000</v>
      </c>
    </row>
    <row r="12" spans="1:9" x14ac:dyDescent="0.2">
      <c r="A12" s="4" t="s">
        <v>50</v>
      </c>
      <c r="C12" s="30">
        <v>0</v>
      </c>
    </row>
    <row r="13" spans="1:9" x14ac:dyDescent="0.2">
      <c r="A13" s="10" t="s">
        <v>51</v>
      </c>
      <c r="B13" s="19">
        <f>SUM(B7:B12)</f>
        <v>95075485</v>
      </c>
      <c r="C13" s="19">
        <f>SUM(C7:C12)</f>
        <v>0</v>
      </c>
      <c r="D13" s="20"/>
      <c r="E13" s="20"/>
      <c r="F13" s="20"/>
      <c r="G13" s="20"/>
      <c r="H13" s="20"/>
      <c r="I13" s="19">
        <f>SUM(B13:H13)</f>
        <v>95075485</v>
      </c>
    </row>
    <row r="15" spans="1:9" x14ac:dyDescent="0.2">
      <c r="A15" s="15" t="s">
        <v>52</v>
      </c>
      <c r="B15" s="16"/>
      <c r="C15" s="16"/>
      <c r="D15" s="16"/>
      <c r="E15" s="16"/>
      <c r="F15" s="16"/>
      <c r="G15" s="16"/>
      <c r="H15" s="16"/>
      <c r="I15" s="16"/>
    </row>
    <row r="16" spans="1:9" x14ac:dyDescent="0.2">
      <c r="A16" s="4" t="s">
        <v>53</v>
      </c>
      <c r="B16" s="18">
        <f>Assumptions!D19</f>
        <v>1047633</v>
      </c>
      <c r="C16" s="18">
        <f>Assumptions!D19*0.25</f>
        <v>261908.25</v>
      </c>
    </row>
    <row r="17" spans="1:9" x14ac:dyDescent="0.2">
      <c r="A17" s="4" t="s">
        <v>170</v>
      </c>
      <c r="E17" s="18">
        <f>Assumptions!D55*12*Assumptions!B53*0.5</f>
        <v>3960000</v>
      </c>
      <c r="F17" s="18">
        <f>E17*(1+Assumptions!B59)</f>
        <v>4078800</v>
      </c>
      <c r="G17" s="18">
        <f>F17*(1+Assumptions!B59)</f>
        <v>4201164</v>
      </c>
      <c r="H17" s="18">
        <f>G17*(1+Assumptions!B59)</f>
        <v>4327198.92</v>
      </c>
    </row>
    <row r="18" spans="1:9" x14ac:dyDescent="0.2">
      <c r="A18" s="4" t="s">
        <v>55</v>
      </c>
      <c r="E18" s="18">
        <f>-E17*(1-Assumptions!B56)</f>
        <v>-277199.99999999983</v>
      </c>
      <c r="F18" s="18">
        <f>-F17*(1-Assumptions!B56)</f>
        <v>-285515.99999999983</v>
      </c>
      <c r="G18" s="18">
        <f>-G17*(1-Assumptions!B56)</f>
        <v>-294081.47999999981</v>
      </c>
      <c r="H18" s="18">
        <f>-H17*(1-Assumptions!B56)</f>
        <v>-302903.92439999979</v>
      </c>
      <c r="I18" s="18">
        <f>-I17*(1-Assumptions!B56)</f>
        <v>0</v>
      </c>
    </row>
    <row r="19" spans="1:9" x14ac:dyDescent="0.2">
      <c r="A19" s="10" t="s">
        <v>56</v>
      </c>
      <c r="B19" s="19">
        <f t="shared" ref="B19:I19" si="0">SUM(B16:B18)</f>
        <v>1047633</v>
      </c>
      <c r="C19" s="19">
        <f t="shared" si="0"/>
        <v>261908.25</v>
      </c>
      <c r="D19" s="19">
        <f t="shared" si="0"/>
        <v>0</v>
      </c>
      <c r="E19" s="19">
        <f t="shared" si="0"/>
        <v>3682800</v>
      </c>
      <c r="F19" s="19">
        <f t="shared" si="0"/>
        <v>3793284</v>
      </c>
      <c r="G19" s="19">
        <f t="shared" si="0"/>
        <v>3907082.52</v>
      </c>
      <c r="H19" s="19">
        <f t="shared" si="0"/>
        <v>4024294.9956</v>
      </c>
      <c r="I19" s="19">
        <f t="shared" si="0"/>
        <v>0</v>
      </c>
    </row>
    <row r="21" spans="1:9" x14ac:dyDescent="0.2">
      <c r="A21" s="15" t="s">
        <v>57</v>
      </c>
      <c r="B21" s="16"/>
      <c r="C21" s="16"/>
      <c r="D21" s="16"/>
      <c r="E21" s="16"/>
      <c r="F21" s="16"/>
      <c r="G21" s="16"/>
      <c r="H21" s="16"/>
      <c r="I21" s="16"/>
    </row>
    <row r="22" spans="1:9" x14ac:dyDescent="0.2">
      <c r="A22" s="4" t="s">
        <v>58</v>
      </c>
      <c r="B22" s="18">
        <f>Assumptions!B64*Assumptions!B11</f>
        <v>478357</v>
      </c>
      <c r="C22" s="18">
        <f>Assumptions!B64*Assumptions!B11</f>
        <v>478357</v>
      </c>
      <c r="D22" s="18">
        <f>Assumptions!B64*Assumptions!B11</f>
        <v>478357</v>
      </c>
      <c r="E22" s="18">
        <f>Assumptions!B64*Assumptions!B11</f>
        <v>478357</v>
      </c>
      <c r="F22" s="18">
        <f>Assumptions!B64*Assumptions!B10</f>
        <v>1028516.5</v>
      </c>
      <c r="G22" s="18">
        <f>Assumptions!B64*Assumptions!B10</f>
        <v>1028516.5</v>
      </c>
      <c r="H22" s="18">
        <f>Assumptions!B64*Assumptions!B10</f>
        <v>1028516.5</v>
      </c>
    </row>
    <row r="23" spans="1:9" x14ac:dyDescent="0.2">
      <c r="A23" s="4" t="s">
        <v>59</v>
      </c>
      <c r="B23" s="18">
        <f>0</f>
        <v>0</v>
      </c>
      <c r="C23" s="18">
        <f>0</f>
        <v>0</v>
      </c>
      <c r="D23" s="18">
        <f>0</f>
        <v>0</v>
      </c>
      <c r="E23" s="18">
        <f>0</f>
        <v>0</v>
      </c>
      <c r="F23" s="18">
        <f>Assumptions!B65*Assumptions!B54</f>
        <v>540000</v>
      </c>
      <c r="G23" s="18">
        <f>Assumptions!B65*Assumptions!B54</f>
        <v>540000</v>
      </c>
      <c r="H23" s="18">
        <f>Assumptions!B65*Assumptions!B54</f>
        <v>540000</v>
      </c>
    </row>
    <row r="24" spans="1:9" x14ac:dyDescent="0.2">
      <c r="A24" s="4" t="s">
        <v>60</v>
      </c>
      <c r="B24" s="18">
        <f>Assumptions!B32*Assumptions!D7</f>
        <v>154122.5</v>
      </c>
      <c r="C24" s="18">
        <f>Assumptions!B32*Assumptions!D7</f>
        <v>154122.5</v>
      </c>
      <c r="D24" s="18">
        <f>0</f>
        <v>0</v>
      </c>
      <c r="E24" s="18">
        <f>0</f>
        <v>0</v>
      </c>
      <c r="F24" s="18">
        <f>Assumptions!D58*Assumptions!B53</f>
        <v>2400000</v>
      </c>
      <c r="G24" s="18">
        <f>Assumptions!D58*Assumptions!B53</f>
        <v>2400000</v>
      </c>
      <c r="H24" s="18">
        <f>Assumptions!D58*Assumptions!B53</f>
        <v>2400000</v>
      </c>
    </row>
    <row r="25" spans="1:9" x14ac:dyDescent="0.2">
      <c r="A25" s="4" t="s">
        <v>61</v>
      </c>
      <c r="B25" s="18">
        <f>Assumptions!B66*MAX(B19,0)</f>
        <v>41905.32</v>
      </c>
      <c r="C25" s="18">
        <f>Assumptions!B66*MAX(C19,0)</f>
        <v>10476.33</v>
      </c>
      <c r="D25" s="18">
        <f>Assumptions!B66*MAX(D19,0)</f>
        <v>0</v>
      </c>
      <c r="E25" s="18">
        <f>Assumptions!B66*MAX(E19,0)</f>
        <v>147312</v>
      </c>
      <c r="F25" s="18">
        <f>Assumptions!B66*MAX(F19,0)</f>
        <v>151731.36000000002</v>
      </c>
      <c r="G25" s="18">
        <f>Assumptions!B66*MAX(G19,0)</f>
        <v>156283.3008</v>
      </c>
      <c r="H25" s="18">
        <f>Assumptions!B66*MAX(H19,0)</f>
        <v>160971.79982400002</v>
      </c>
    </row>
    <row r="26" spans="1:9" x14ac:dyDescent="0.2">
      <c r="A26" s="10" t="s">
        <v>62</v>
      </c>
      <c r="B26" s="19">
        <f t="shared" ref="B26:H26" si="1">SUM(B22:B25)</f>
        <v>674384.82</v>
      </c>
      <c r="C26" s="19">
        <f t="shared" si="1"/>
        <v>642955.82999999996</v>
      </c>
      <c r="D26" s="19">
        <f t="shared" si="1"/>
        <v>478357</v>
      </c>
      <c r="E26" s="19">
        <f t="shared" si="1"/>
        <v>625669</v>
      </c>
      <c r="F26" s="19">
        <f t="shared" si="1"/>
        <v>4120247.86</v>
      </c>
      <c r="G26" s="19">
        <f t="shared" si="1"/>
        <v>4124799.8007999999</v>
      </c>
      <c r="H26" s="19">
        <f t="shared" si="1"/>
        <v>4129488.2998239999</v>
      </c>
      <c r="I26" s="20"/>
    </row>
    <row r="28" spans="1:9" x14ac:dyDescent="0.2">
      <c r="A28" s="15" t="s">
        <v>63</v>
      </c>
      <c r="B28" s="16"/>
      <c r="C28" s="16"/>
      <c r="D28" s="16"/>
      <c r="E28" s="16"/>
      <c r="F28" s="16"/>
      <c r="G28" s="16"/>
      <c r="H28" s="16"/>
      <c r="I28" s="16"/>
    </row>
    <row r="29" spans="1:9" x14ac:dyDescent="0.2">
      <c r="A29" s="10" t="s">
        <v>64</v>
      </c>
      <c r="B29" s="21">
        <f t="shared" ref="B29:H29" si="2">B19-B26</f>
        <v>373248.18000000005</v>
      </c>
      <c r="C29" s="21">
        <f t="shared" si="2"/>
        <v>-381047.57999999996</v>
      </c>
      <c r="D29" s="21">
        <f t="shared" si="2"/>
        <v>-478357</v>
      </c>
      <c r="E29" s="21">
        <f t="shared" si="2"/>
        <v>3057131</v>
      </c>
      <c r="F29" s="21">
        <f t="shared" si="2"/>
        <v>-326963.85999999987</v>
      </c>
      <c r="G29" s="21">
        <f t="shared" si="2"/>
        <v>-217717.28079999983</v>
      </c>
      <c r="H29" s="21">
        <f t="shared" si="2"/>
        <v>-105193.30422399985</v>
      </c>
      <c r="I29" s="22"/>
    </row>
    <row r="31" spans="1:9" x14ac:dyDescent="0.2">
      <c r="A31" s="15" t="s">
        <v>65</v>
      </c>
      <c r="B31" s="16"/>
      <c r="C31" s="16"/>
      <c r="D31" s="16"/>
      <c r="E31" s="16"/>
      <c r="F31" s="16"/>
      <c r="G31" s="16"/>
      <c r="H31" s="16"/>
      <c r="I31" s="16"/>
    </row>
    <row r="32" spans="1:9" x14ac:dyDescent="0.2">
      <c r="A32" s="4" t="s">
        <v>66</v>
      </c>
      <c r="B32" s="18">
        <f>Assumptions!D17</f>
        <v>1685970</v>
      </c>
      <c r="C32" s="18">
        <f>Assumptions!D17</f>
        <v>1685970</v>
      </c>
      <c r="D32" s="18">
        <f>Assumptions!D17</f>
        <v>1685970</v>
      </c>
      <c r="E32" s="18">
        <f>Assumptions!D17</f>
        <v>1685970</v>
      </c>
      <c r="F32" s="18">
        <f>Assumptions!D17</f>
        <v>1685970</v>
      </c>
      <c r="G32" s="18">
        <f>Assumptions!D17</f>
        <v>1685970</v>
      </c>
      <c r="H32" s="18">
        <f>Assumptions!D17</f>
        <v>1685970</v>
      </c>
    </row>
    <row r="33" spans="1:9" x14ac:dyDescent="0.2">
      <c r="A33" s="10" t="s">
        <v>67</v>
      </c>
      <c r="B33" s="19">
        <f t="shared" ref="B33:H33" si="3">B29-B32</f>
        <v>-1312721.8199999998</v>
      </c>
      <c r="C33" s="19">
        <f t="shared" si="3"/>
        <v>-2067017.58</v>
      </c>
      <c r="D33" s="19">
        <f t="shared" si="3"/>
        <v>-2164327</v>
      </c>
      <c r="E33" s="19">
        <f t="shared" si="3"/>
        <v>1371161</v>
      </c>
      <c r="F33" s="19">
        <f t="shared" si="3"/>
        <v>-2012933.8599999999</v>
      </c>
      <c r="G33" s="19">
        <f t="shared" si="3"/>
        <v>-1903687.2807999998</v>
      </c>
      <c r="H33" s="19">
        <f t="shared" si="3"/>
        <v>-1791163.3042239998</v>
      </c>
      <c r="I33" s="20"/>
    </row>
    <row r="35" spans="1:9" x14ac:dyDescent="0.2">
      <c r="A35" s="15" t="s">
        <v>68</v>
      </c>
      <c r="B35" s="16"/>
      <c r="C35" s="16"/>
      <c r="D35" s="16"/>
      <c r="E35" s="16"/>
      <c r="F35" s="16"/>
      <c r="G35" s="16"/>
      <c r="H35" s="16"/>
      <c r="I35" s="16"/>
    </row>
    <row r="36" spans="1:9" x14ac:dyDescent="0.2">
      <c r="A36" s="4" t="s">
        <v>8</v>
      </c>
      <c r="I36" s="5">
        <f>H29</f>
        <v>-105193.30422399985</v>
      </c>
    </row>
    <row r="37" spans="1:9" x14ac:dyDescent="0.2">
      <c r="A37" s="4" t="s">
        <v>69</v>
      </c>
      <c r="I37" s="8">
        <f>Assumptions!D56</f>
        <v>0.05</v>
      </c>
    </row>
    <row r="38" spans="1:9" x14ac:dyDescent="0.2">
      <c r="A38" s="4" t="s">
        <v>11</v>
      </c>
      <c r="I38" s="18">
        <f>I36/I37</f>
        <v>-2103866.0844799969</v>
      </c>
    </row>
    <row r="39" spans="1:9" x14ac:dyDescent="0.2">
      <c r="A39" s="4" t="s">
        <v>70</v>
      </c>
      <c r="I39" s="18">
        <f>-I38*Assumptions!B67</f>
        <v>42077.321689599943</v>
      </c>
    </row>
    <row r="40" spans="1:9" x14ac:dyDescent="0.2">
      <c r="A40" s="4" t="s">
        <v>71</v>
      </c>
      <c r="I40" s="18">
        <f>I38+I39</f>
        <v>-2061788.762790397</v>
      </c>
    </row>
    <row r="41" spans="1:9" x14ac:dyDescent="0.2">
      <c r="A41" s="4" t="s">
        <v>72</v>
      </c>
      <c r="I41" s="18">
        <f>-Assumptions!B16</f>
        <v>-25938000</v>
      </c>
    </row>
    <row r="42" spans="1:9" x14ac:dyDescent="0.2">
      <c r="A42" s="10" t="s">
        <v>73</v>
      </c>
      <c r="B42" s="20"/>
      <c r="C42" s="20"/>
      <c r="D42" s="20"/>
      <c r="E42" s="20"/>
      <c r="F42" s="20"/>
      <c r="G42" s="20"/>
      <c r="H42" s="20"/>
      <c r="I42" s="19">
        <f>I40+I41</f>
        <v>-27999788.762790397</v>
      </c>
    </row>
    <row r="44" spans="1:9" x14ac:dyDescent="0.2">
      <c r="A44" s="15" t="s">
        <v>74</v>
      </c>
      <c r="B44" s="16"/>
      <c r="C44" s="16"/>
      <c r="D44" s="16"/>
      <c r="E44" s="16"/>
      <c r="F44" s="16"/>
      <c r="G44" s="16"/>
      <c r="H44" s="16"/>
      <c r="I44" s="16"/>
    </row>
    <row r="45" spans="1:9" x14ac:dyDescent="0.2">
      <c r="A45" s="4" t="s">
        <v>75</v>
      </c>
      <c r="B45" s="18">
        <f t="shared" ref="B45:H45" si="4">B33-B13</f>
        <v>-96388206.819999993</v>
      </c>
      <c r="C45" s="18">
        <f t="shared" si="4"/>
        <v>-2067017.58</v>
      </c>
      <c r="D45" s="18">
        <f t="shared" si="4"/>
        <v>-2164327</v>
      </c>
      <c r="E45" s="18">
        <f t="shared" si="4"/>
        <v>1371161</v>
      </c>
      <c r="F45" s="18">
        <f t="shared" si="4"/>
        <v>-2012933.8599999999</v>
      </c>
      <c r="G45" s="18">
        <f t="shared" si="4"/>
        <v>-1903687.2807999998</v>
      </c>
      <c r="H45" s="18">
        <f t="shared" si="4"/>
        <v>-1791163.3042239998</v>
      </c>
      <c r="I45" s="18">
        <f>H33-H13+I42</f>
        <v>-29790952.067014396</v>
      </c>
    </row>
    <row r="46" spans="1:9" x14ac:dyDescent="0.2">
      <c r="A46" s="4" t="s">
        <v>76</v>
      </c>
      <c r="B46" s="18">
        <f>B45</f>
        <v>-96388206.819999993</v>
      </c>
      <c r="C46" s="18">
        <f t="shared" ref="C46:I46" si="5">B46+C45</f>
        <v>-98455224.399999991</v>
      </c>
      <c r="D46" s="18">
        <f t="shared" si="5"/>
        <v>-100619551.39999999</v>
      </c>
      <c r="E46" s="18">
        <f t="shared" si="5"/>
        <v>-99248390.399999991</v>
      </c>
      <c r="F46" s="18">
        <f t="shared" si="5"/>
        <v>-101261324.25999999</v>
      </c>
      <c r="G46" s="18">
        <f t="shared" si="5"/>
        <v>-103165011.54079999</v>
      </c>
      <c r="H46" s="18">
        <f t="shared" si="5"/>
        <v>-104956174.84502399</v>
      </c>
      <c r="I46" s="18">
        <f t="shared" si="5"/>
        <v>-134747126.91203839</v>
      </c>
    </row>
    <row r="48" spans="1:9" x14ac:dyDescent="0.2">
      <c r="A48" s="7" t="s">
        <v>7</v>
      </c>
      <c r="B48" s="18">
        <f>I13</f>
        <v>95075485</v>
      </c>
    </row>
    <row r="49" spans="1:2" x14ac:dyDescent="0.2">
      <c r="A49" s="7" t="s">
        <v>8</v>
      </c>
      <c r="B49" s="18">
        <f>H29</f>
        <v>-105193.30422399985</v>
      </c>
    </row>
    <row r="50" spans="1:2" x14ac:dyDescent="0.2">
      <c r="A50" s="7" t="s">
        <v>77</v>
      </c>
      <c r="B50" s="23">
        <f>IF(B48&lt;&gt;0,B49/B48,0)</f>
        <v>-1.1064188021128669E-3</v>
      </c>
    </row>
    <row r="51" spans="1:2" x14ac:dyDescent="0.2">
      <c r="A51" s="7" t="s">
        <v>78</v>
      </c>
      <c r="B51" s="23">
        <f>B50-Assumptions!D56</f>
        <v>-5.110641880211287E-2</v>
      </c>
    </row>
    <row r="52" spans="1:2" x14ac:dyDescent="0.2">
      <c r="A52" s="7" t="s">
        <v>11</v>
      </c>
      <c r="B52" s="18">
        <f>I38</f>
        <v>-2103866.0844799969</v>
      </c>
    </row>
    <row r="53" spans="1:2" ht="30" x14ac:dyDescent="0.2">
      <c r="A53" s="7" t="s">
        <v>79</v>
      </c>
      <c r="B53" s="18">
        <f>I42-I13</f>
        <v>-123075273.7627904</v>
      </c>
    </row>
    <row r="54" spans="1:2" x14ac:dyDescent="0.2">
      <c r="A54" s="7" t="s">
        <v>14</v>
      </c>
      <c r="B54" s="24">
        <f>IF(I13&lt;&gt;0,(I42+SUM(B33:H33))/I13,0)</f>
        <v>-0.39842529972699475</v>
      </c>
    </row>
    <row r="56" spans="1:2" x14ac:dyDescent="0.2">
      <c r="A56" s="7" t="s">
        <v>15</v>
      </c>
      <c r="B56" s="17" t="s">
        <v>171</v>
      </c>
    </row>
    <row r="57" spans="1:2" x14ac:dyDescent="0.2">
      <c r="A57" s="7" t="s">
        <v>16</v>
      </c>
      <c r="B57" s="17" t="s">
        <v>81</v>
      </c>
    </row>
    <row r="58" spans="1:2" ht="30" x14ac:dyDescent="0.2">
      <c r="A58" s="7" t="s">
        <v>172</v>
      </c>
      <c r="B58" s="18">
        <f>B53*Assumptions!D59</f>
        <v>-61537636.881395198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Summary</vt:lpstr>
      <vt:lpstr>3A Warehouse</vt:lpstr>
      <vt:lpstr>3B Flex Industrial</vt:lpstr>
      <vt:lpstr>3C Data Center</vt:lpstr>
      <vt:lpstr>3D Multifamily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Natalie Baldacci</cp:lastModifiedBy>
  <cp:revision>0</cp:revision>
  <dcterms:created xsi:type="dcterms:W3CDTF">2026-02-14T02:01:49Z</dcterms:created>
  <dcterms:modified xsi:type="dcterms:W3CDTF">2026-02-14T02:05:15Z</dcterms:modified>
  <dc:language>en-US</dc:language>
</cp:coreProperties>
</file>