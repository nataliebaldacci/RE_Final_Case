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 - Sell As-Is" sheetId="2" state="visible" r:id="rId4"/>
    <sheet name="2 - Re-Lease" sheetId="3" state="visible" r:id="rId5"/>
    <sheet name="Scenario Comparison" sheetId="4" state="visible" r:id="rId6"/>
    <sheet name="Sensitivity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<sst xmlns="http://schemas.openxmlformats.org/spreadsheetml/2006/main" count="237" uniqueCount="213">
  <si>
    <t xml:space="preserve">Grassmere Business Park — All-Scenarios Proforma</t>
  </si>
  <si>
    <t xml:space="preserve">648 &amp; 650 Grassmere Park Drive, Nashville, TN 37211</t>
  </si>
  <si>
    <t xml:space="preserve">Blue cells = adjustable inputs    |    Black cells = formulas    |    Green cells = cross-sheet links</t>
  </si>
  <si>
    <t xml:space="preserve">SUBJECT PROPERTY</t>
  </si>
  <si>
    <t xml:space="preserve">Total Site Area (acres)</t>
  </si>
  <si>
    <t xml:space="preserve">Total Site Area (SF)</t>
  </si>
  <si>
    <t xml:space="preserve">Main Building (SF)</t>
  </si>
  <si>
    <t xml:space="preserve">Annex Building (SF)</t>
  </si>
  <si>
    <t xml:space="preserve">Total Building Area (SF)</t>
  </si>
  <si>
    <t xml:space="preserve">Year Built</t>
  </si>
  <si>
    <t xml:space="preserve">Surface Parking Spaces</t>
  </si>
  <si>
    <t xml:space="preserve">Parking Ratio (per 1,000 SF)</t>
  </si>
  <si>
    <t xml:space="preserve">Current Appraised Value</t>
  </si>
  <si>
    <t xml:space="preserve">Appraised $/SF</t>
  </si>
  <si>
    <t xml:space="preserve">Land Appraised Value</t>
  </si>
  <si>
    <t xml:space="preserve">Land Value $/Acre</t>
  </si>
  <si>
    <t xml:space="preserve">Acquisition Price (2015)</t>
  </si>
  <si>
    <t xml:space="preserve">Acquisition $/SF</t>
  </si>
  <si>
    <t xml:space="preserve">Zoning</t>
  </si>
  <si>
    <t xml:space="preserve">IWD</t>
  </si>
  <si>
    <t xml:space="preserve">Generator Capacity (kW)</t>
  </si>
  <si>
    <t xml:space="preserve">CC&amp;R Expiration</t>
  </si>
  <si>
    <t xml:space="preserve">February 18, 2033</t>
  </si>
  <si>
    <t xml:space="preserve">CC&amp;R Book/Page</t>
  </si>
  <si>
    <t xml:space="preserve">Book 6008, Page 866</t>
  </si>
  <si>
    <t xml:space="preserve">CAPITAL STRUCTURE</t>
  </si>
  <si>
    <t xml:space="preserve">Existing Loan Balance (est.)</t>
  </si>
  <si>
    <t xml:space="preserve">Source: Interest-only, no principal paydown</t>
  </si>
  <si>
    <t xml:space="preserve">Interest Rate (est.)</t>
  </si>
  <si>
    <t xml:space="preserve">Annual Debt Service</t>
  </si>
  <si>
    <t xml:space="preserve">Loan Maturity</t>
  </si>
  <si>
    <t xml:space="preserve">December 2029</t>
  </si>
  <si>
    <t xml:space="preserve">Monthly Debt Service</t>
  </si>
  <si>
    <t xml:space="preserve">Asurion Annex Lease Expiration</t>
  </si>
  <si>
    <t xml:space="preserve">March 2027</t>
  </si>
  <si>
    <t xml:space="preserve">Asurion Annual Rent (est.)</t>
  </si>
  <si>
    <t xml:space="preserve">SCENARIO 1: SELL AS-IS</t>
  </si>
  <si>
    <t xml:space="preserve">Low Sale Price ($/SF)</t>
  </si>
  <si>
    <t xml:space="preserve">Low Total Sale Price</t>
  </si>
  <si>
    <t xml:space="preserve">Base Sale Price ($/SF)</t>
  </si>
  <si>
    <t xml:space="preserve">Base Total Sale Price</t>
  </si>
  <si>
    <t xml:space="preserve">High Sale Price ($/SF)</t>
  </si>
  <si>
    <t xml:space="preserve">High Total Sale Price</t>
  </si>
  <si>
    <t xml:space="preserve">Selling Costs (% of sale price)</t>
  </si>
  <si>
    <t xml:space="preserve">Source: Broker commissions + legal</t>
  </si>
  <si>
    <t xml:space="preserve">Months to Close</t>
  </si>
  <si>
    <t xml:space="preserve">Carry Cost During Marketing</t>
  </si>
  <si>
    <t xml:space="preserve">Buyer Cap Rate (on Asurion income)</t>
  </si>
  <si>
    <t xml:space="preserve">Implied Value (Income Approach)</t>
  </si>
  <si>
    <t xml:space="preserve">SCENARIO 2: RE-LEASE MAIN BUILDING</t>
  </si>
  <si>
    <t xml:space="preserve">Leasable Area (Main Bldg SF)</t>
  </si>
  <si>
    <t xml:space="preserve">Market Rent ($/SF Full Service)</t>
  </si>
  <si>
    <t xml:space="preserve">Lease-Up Period (months)</t>
  </si>
  <si>
    <t xml:space="preserve">Annual Rent Escalation</t>
  </si>
  <si>
    <t xml:space="preserve">Stabilized Occupancy</t>
  </si>
  <si>
    <t xml:space="preserve">Exit Cap Rate</t>
  </si>
  <si>
    <t xml:space="preserve">TI Allowance ($/SF)</t>
  </si>
  <si>
    <t xml:space="preserve">Total TI Cost</t>
  </si>
  <si>
    <t xml:space="preserve">Leasing Commission (%)</t>
  </si>
  <si>
    <t xml:space="preserve">Capital Improvements (deferred maint.)</t>
  </si>
  <si>
    <t xml:space="preserve">OpEx ($/SF Full Service)</t>
  </si>
  <si>
    <t xml:space="preserve">OpEx Escalation</t>
  </si>
  <si>
    <t xml:space="preserve">Management Fee (% of EGI)</t>
  </si>
  <si>
    <t xml:space="preserve">SCENARIO 3: REDEVELOP — SEE EXISTING PROFORMA</t>
  </si>
  <si>
    <t xml:space="preserve">Demolition Cost ($/SF)</t>
  </si>
  <si>
    <t xml:space="preserve">Total Demolition Cost</t>
  </si>
  <si>
    <t xml:space="preserve">Abatement/Environmental (est.)</t>
  </si>
  <si>
    <t xml:space="preserve">Site Prep / Grading</t>
  </si>
  <si>
    <t xml:space="preserve">Total Demo + Site Prep</t>
  </si>
  <si>
    <t xml:space="preserve">GENERAL ASSUMPTIONS</t>
  </si>
  <si>
    <t xml:space="preserve">Discount Rate (WACC)</t>
  </si>
  <si>
    <t xml:space="preserve">Analysis Period</t>
  </si>
  <si>
    <t xml:space="preserve">2026-2032 (7 years)</t>
  </si>
  <si>
    <t xml:space="preserve">Property Tax Rate (% of appraised)</t>
  </si>
  <si>
    <t xml:space="preserve">Insurance ($/SF)</t>
  </si>
  <si>
    <t xml:space="preserve">Soft Costs (% of hard costs)</t>
  </si>
  <si>
    <t xml:space="preserve">Contingency (% of hard costs)</t>
  </si>
  <si>
    <t xml:space="preserve">Scenario 1: Sell Property As-Is</t>
  </si>
  <si>
    <t xml:space="preserve">648 &amp; 650 Grassmere Park Drive</t>
  </si>
  <si>
    <t xml:space="preserve">Low Case</t>
  </si>
  <si>
    <t xml:space="preserve">Base Case</t>
  </si>
  <si>
    <t xml:space="preserve">High Case</t>
  </si>
  <si>
    <t xml:space="preserve">SALE PROCEEDS</t>
  </si>
  <si>
    <t xml:space="preserve">Sale Price ($/SF)</t>
  </si>
  <si>
    <t xml:space="preserve">Gross Sale Price</t>
  </si>
  <si>
    <t xml:space="preserve">Less: Selling Costs (2%)</t>
  </si>
  <si>
    <t xml:space="preserve">Less: Carry Cost (6 mo. debt service)</t>
  </si>
  <si>
    <t xml:space="preserve">Net Sale Proceeds</t>
  </si>
  <si>
    <t xml:space="preserve">DEBT RETIREMENT</t>
  </si>
  <si>
    <t xml:space="preserve">Existing Loan Balance</t>
  </si>
  <si>
    <t xml:space="preserve">Net Proceeds Less Debt</t>
  </si>
  <si>
    <t xml:space="preserve">Shortfall / Surplus</t>
  </si>
  <si>
    <t xml:space="preserve">COMPARABLE SALES EVIDENCE</t>
  </si>
  <si>
    <t xml:space="preserve">Comparable</t>
  </si>
  <si>
    <t xml:space="preserve">$/SF</t>
  </si>
  <si>
    <t xml:space="preserve">Year / SF / Notes</t>
  </si>
  <si>
    <t xml:space="preserve">100 Centerview Dr (138551)</t>
  </si>
  <si>
    <t xml:space="preserve">2025 | 248,573 SF | 1984 | 25.4 ac | Suburban</t>
  </si>
  <si>
    <t xml:space="preserve">5244 Hickory Hollow (283416)</t>
  </si>
  <si>
    <t xml:space="preserve">2022 | 170,750 SF | 1978 | 17.7 ac | Suburban</t>
  </si>
  <si>
    <t xml:space="preserve">41 Rachel Dr (170790)</t>
  </si>
  <si>
    <t xml:space="preserve">2025 | 157,262 SF | 1992 | 13.5 ac | Suburban</t>
  </si>
  <si>
    <t xml:space="preserve">1 Burton Hills Blvd (210667)</t>
  </si>
  <si>
    <t xml:space="preserve">2025 | 121,968 SF | 1985 | 7.1 ac | Suburban</t>
  </si>
  <si>
    <t xml:space="preserve">400 Deaderick St (129061)</t>
  </si>
  <si>
    <t xml:space="preserve">2025 | 295,914 SF | 1985 | Downtown distressed</t>
  </si>
  <si>
    <t xml:space="preserve">636 Grassmere Park (215185)</t>
  </si>
  <si>
    <t xml:space="preserve">2022 | 63,474 SF | 1985 | NEIGHBOR (occupied)</t>
  </si>
  <si>
    <t xml:space="preserve">424 Church St (130803)</t>
  </si>
  <si>
    <t xml:space="preserve">2025 | 647,732 SF | 1985 | Downtown</t>
  </si>
  <si>
    <t xml:space="preserve">1321 Murfreesboro Pk (302467)</t>
  </si>
  <si>
    <t xml:space="preserve">2021 | 189,836 SF | 1987 | South Nash corridor</t>
  </si>
  <si>
    <t xml:space="preserve">SUBJECT PROPERTY DISCOUNT FACTORS:</t>
  </si>
  <si>
    <t xml:space="preserve">73% vacant (main bldg empty since 2022)</t>
  </si>
  <si>
    <t xml:space="preserve">Asurion lease expires Mar 2027 (no renewal)</t>
  </si>
  <si>
    <t xml:space="preserve">Single access point (Trousdale Dr only)</t>
  </si>
  <si>
    <t xml:space="preserve">CC&amp;Rs restrict uses until Feb 2033</t>
  </si>
  <si>
    <t xml:space="preserve">Loan maturity Dec 2029 creates urgency</t>
  </si>
  <si>
    <t xml:space="preserve">Scenario 2: Re-Lease Main Building</t>
  </si>
  <si>
    <t xml:space="preserve">Year 0
2026</t>
  </si>
  <si>
    <t xml:space="preserve">Year 1
2027</t>
  </si>
  <si>
    <t xml:space="preserve">Year 2
2028</t>
  </si>
  <si>
    <t xml:space="preserve">Year 3
2029</t>
  </si>
  <si>
    <t xml:space="preserve">Year 4
2030</t>
  </si>
  <si>
    <t xml:space="preserve">Year 5
2031</t>
  </si>
  <si>
    <t xml:space="preserve">Year 6
2032</t>
  </si>
  <si>
    <t xml:space="preserve">Total/Exit</t>
  </si>
  <si>
    <t xml:space="preserve">CAPITAL EXPENDITURES (UPFRONT)</t>
  </si>
  <si>
    <t xml:space="preserve">Capital Improvements (Deferred Maint.)</t>
  </si>
  <si>
    <t xml:space="preserve">Tenant Improvements</t>
  </si>
  <si>
    <t xml:space="preserve">Leasing Commissions</t>
  </si>
  <si>
    <t xml:space="preserve">TOTAL CAPITAL EXPENDITURE</t>
  </si>
  <si>
    <t xml:space="preserve">REVENUE</t>
  </si>
  <si>
    <t xml:space="preserve">Asurion Annex Rent</t>
  </si>
  <si>
    <t xml:space="preserve">Main Bldg Gross Potential Rent</t>
  </si>
  <si>
    <t xml:space="preserve">Vacancy Loss</t>
  </si>
  <si>
    <t xml:space="preserve">EFFECTIVE GROSS INCOME</t>
  </si>
  <si>
    <t xml:space="preserve">OPERATING EXPENSES</t>
  </si>
  <si>
    <t xml:space="preserve">Property Taxes</t>
  </si>
  <si>
    <t xml:space="preserve">Insurance</t>
  </si>
  <si>
    <t xml:space="preserve">Operating Expenses (Full Service)</t>
  </si>
  <si>
    <t xml:space="preserve">TOTAL OPERATING EXPENSES</t>
  </si>
  <si>
    <t xml:space="preserve">NET OPERATING INCOME</t>
  </si>
  <si>
    <t xml:space="preserve">NET OPERATING INCOME (NOI)</t>
  </si>
  <si>
    <t xml:space="preserve">DEBT SERVICE</t>
  </si>
  <si>
    <t xml:space="preserve">CASH FLOW AFTER DEBT SERVICE</t>
  </si>
  <si>
    <t xml:space="preserve">EXIT / REVERSION (Year 6 - 2032)</t>
  </si>
  <si>
    <t xml:space="preserve">Year 6 NOI (Stabilized)</t>
  </si>
  <si>
    <t xml:space="preserve">NOI negative — no viable exit at stabilization</t>
  </si>
  <si>
    <t xml:space="preserve">Less: Selling Costs</t>
  </si>
  <si>
    <t xml:space="preserve">Less: Loan Payoff</t>
  </si>
  <si>
    <t xml:space="preserve">NET EQUITY REVERSION</t>
  </si>
  <si>
    <t xml:space="preserve">RETURN METRICS</t>
  </si>
  <si>
    <t xml:space="preserve">Total Capital Invested</t>
  </si>
  <si>
    <t xml:space="preserve">Stabilized Yield on Cost</t>
  </si>
  <si>
    <t xml:space="preserve">Unlevered IRR</t>
  </si>
  <si>
    <t xml:space="preserve">Calculate manually</t>
  </si>
  <si>
    <t xml:space="preserve">Multiple on Equity</t>
  </si>
  <si>
    <t xml:space="preserve">Scenario Comparison Matrix</t>
  </si>
  <si>
    <t xml:space="preserve">Metric</t>
  </si>
  <si>
    <t xml:space="preserve">1: Sell As-Is</t>
  </si>
  <si>
    <t xml:space="preserve">2: Re-Lease</t>
  </si>
  <si>
    <t xml:space="preserve">3A: Warehouse</t>
  </si>
  <si>
    <t xml:space="preserve">3B: Flex Industrial</t>
  </si>
  <si>
    <t xml:space="preserve">3C: Data Center</t>
  </si>
  <si>
    <t xml:space="preserve">3D: Multifamily</t>
  </si>
  <si>
    <t xml:space="preserve">Total Capital Required</t>
  </si>
  <si>
    <t xml:space="preserve">Selling costs only (~$400K)</t>
  </si>
  <si>
    <t xml:space="preserve">~$12.5M upfront</t>
  </si>
  <si>
    <t xml:space="preserve">N/A</t>
  </si>
  <si>
    <t xml:space="preserve">Timeline to Revenue</t>
  </si>
  <si>
    <t xml:space="preserve">6 months</t>
  </si>
  <si>
    <t xml:space="preserve">24-36 months</t>
  </si>
  <si>
    <t xml:space="preserve">14+ months</t>
  </si>
  <si>
    <t xml:space="preserve">8 months</t>
  </si>
  <si>
    <t xml:space="preserve">12 months</t>
  </si>
  <si>
    <t xml:space="preserve">32+ months</t>
  </si>
  <si>
    <t xml:space="preserve">IWD Permitted by Right</t>
  </si>
  <si>
    <t xml:space="preserve">Yes (sale)</t>
  </si>
  <si>
    <t xml:space="preserve">Yes</t>
  </si>
  <si>
    <t xml:space="preserve">No (SE Required)</t>
  </si>
  <si>
    <t xml:space="preserve">CC&amp;R Compliant (pre-2033)</t>
  </si>
  <si>
    <t xml:space="preserve">No (residential)</t>
  </si>
  <si>
    <t xml:space="preserve">Preserves Asurion Income</t>
  </si>
  <si>
    <t xml:space="preserve">Yes (through close)</t>
  </si>
  <si>
    <t xml:space="preserve">Yes (through Mar 2027)</t>
  </si>
  <si>
    <t xml:space="preserve">No</t>
  </si>
  <si>
    <t xml:space="preserve">Stabilized NOI</t>
  </si>
  <si>
    <t xml:space="preserve">Exit Value (Gross)</t>
  </si>
  <si>
    <t xml:space="preserve">Net Equity After Debt</t>
  </si>
  <si>
    <t xml:space="preserve">Yield on Cost</t>
  </si>
  <si>
    <t xml:space="preserve">Covers Loan Balance</t>
  </si>
  <si>
    <t xml:space="preserve">Entitlement Risk</t>
  </si>
  <si>
    <t xml:space="preserve">Construction Risk</t>
  </si>
  <si>
    <t xml:space="preserve">Market/Leasing Risk</t>
  </si>
  <si>
    <t xml:space="preserve">Key Advantage</t>
  </si>
  <si>
    <t xml:space="preserve">Key Risk</t>
  </si>
  <si>
    <t xml:space="preserve">Sensitivity Analysis</t>
  </si>
  <si>
    <t xml:space="preserve">Scenario 1: Sell As-Is — Sale Price vs. Debt Coverage</t>
  </si>
  <si>
    <t xml:space="preserve">Gross Proceeds</t>
  </si>
  <si>
    <t xml:space="preserve">Net Proceeds</t>
  </si>
  <si>
    <t xml:space="preserve">Less Debt ($25.9M)</t>
  </si>
  <si>
    <t xml:space="preserve">Surplus / (Shortfall)</t>
  </si>
  <si>
    <t xml:space="preserve">Scenario 2: Re-Lease — Rent/SF vs. Stabilized NOI</t>
  </si>
  <si>
    <t xml:space="preserve">Rent ($/SF FS)</t>
  </si>
  <si>
    <t xml:space="preserve">Gross Revenue</t>
  </si>
  <si>
    <t xml:space="preserve">OpEx</t>
  </si>
  <si>
    <t xml:space="preserve">NOI / Debt Service</t>
  </si>
  <si>
    <t xml:space="preserve">Scenario 2: Exit Cap Rate Sensitivity</t>
  </si>
  <si>
    <t xml:space="preserve">Stabilized NOI ($18/SF)</t>
  </si>
  <si>
    <t xml:space="preserve">Implied Value</t>
  </si>
  <si>
    <t xml:space="preserve">Less Debt</t>
  </si>
  <si>
    <t xml:space="preserve">Net Equity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</si>
</sst>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\$#,##0"/>
    <numFmt numFmtId="168" formatCode="#,##0"/>
    <numFmt numFmtId="169" formatCode="\$#,##0.00"/>
    <numFmt numFmtId="170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sz val="9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 t="n">
        <v>23.49</v>
      </c>
      <c r="C6" s="6" t="s">
        <v>5</v>
      </c>
      <c r="D6" s="6" t="n">
        <f aca="false">B6*43560</f>
        <v>1023224.4</v>
      </c>
    </row>
    <row r="7" customFormat="false" ht="15" hidden="false" customHeight="true" outlineLevel="0" collapsed="false">
      <c r="A7" s="6" t="s">
        <v>6</v>
      </c>
      <c r="B7" s="8" t="n">
        <v>162550</v>
      </c>
      <c r="C7" s="6" t="s">
        <v>7</v>
      </c>
      <c r="D7" s="8" t="n">
        <v>61649</v>
      </c>
    </row>
    <row r="8" customFormat="false" ht="15" hidden="false" customHeight="true" outlineLevel="0" collapsed="false">
      <c r="A8" s="6" t="s">
        <v>8</v>
      </c>
      <c r="B8" s="6" t="n">
        <f aca="false">B7+D7</f>
        <v>224199</v>
      </c>
      <c r="C8" s="6" t="s">
        <v>9</v>
      </c>
      <c r="D8" s="7" t="n">
        <v>1985</v>
      </c>
    </row>
    <row r="9" customFormat="false" ht="15" hidden="false" customHeight="true" outlineLevel="0" collapsed="false">
      <c r="A9" s="6" t="s">
        <v>10</v>
      </c>
      <c r="B9" s="7" t="n">
        <v>1205</v>
      </c>
      <c r="C9" s="6" t="s">
        <v>11</v>
      </c>
      <c r="D9" s="6" t="n">
        <f aca="false">B9/(B8/1000)</f>
        <v>5.37468944999755</v>
      </c>
    </row>
    <row r="10" customFormat="false" ht="15" hidden="false" customHeight="true" outlineLevel="0" collapsed="false">
      <c r="A10" s="6" t="s">
        <v>12</v>
      </c>
      <c r="B10" s="8" t="n">
        <v>37400600</v>
      </c>
      <c r="C10" s="6" t="s">
        <v>13</v>
      </c>
      <c r="D10" s="6" t="n">
        <f aca="false">B10/B9</f>
        <v>31037.8423236515</v>
      </c>
    </row>
    <row r="11" customFormat="false" ht="15" hidden="false" customHeight="true" outlineLevel="0" collapsed="false">
      <c r="A11" s="6" t="s">
        <v>14</v>
      </c>
      <c r="B11" s="8" t="n">
        <v>17394800</v>
      </c>
      <c r="C11" s="6" t="s">
        <v>15</v>
      </c>
      <c r="D11" s="6" t="n">
        <f aca="false">B11/B6</f>
        <v>740519.369944657</v>
      </c>
    </row>
    <row r="12" customFormat="false" ht="15" hidden="false" customHeight="true" outlineLevel="0" collapsed="false">
      <c r="A12" s="6" t="s">
        <v>16</v>
      </c>
      <c r="B12" s="8" t="n">
        <v>25938000</v>
      </c>
      <c r="C12" s="6" t="s">
        <v>17</v>
      </c>
      <c r="D12" s="6" t="n">
        <f aca="false">B12/B11</f>
        <v>1.49113528180836</v>
      </c>
    </row>
    <row r="13" customFormat="false" ht="15" hidden="false" customHeight="true" outlineLevel="0" collapsed="false">
      <c r="A13" s="6" t="s">
        <v>18</v>
      </c>
      <c r="B13" s="6" t="s">
        <v>19</v>
      </c>
      <c r="C13" s="6" t="s">
        <v>20</v>
      </c>
      <c r="D13" s="7" t="n">
        <v>2250</v>
      </c>
    </row>
    <row r="14" customFormat="false" ht="15" hidden="false" customHeight="true" outlineLevel="0" collapsed="false">
      <c r="A14" s="6" t="s">
        <v>21</v>
      </c>
      <c r="B14" s="6" t="s">
        <v>22</v>
      </c>
      <c r="C14" s="6" t="s">
        <v>23</v>
      </c>
      <c r="D14" s="6" t="s">
        <v>24</v>
      </c>
    </row>
    <row r="16" customFormat="false" ht="15" hidden="false" customHeight="true" outlineLevel="0" collapsed="false">
      <c r="A16" s="5" t="s">
        <v>25</v>
      </c>
      <c r="B16" s="5"/>
      <c r="C16" s="5"/>
      <c r="D16" s="5"/>
    </row>
    <row r="17" customFormat="false" ht="15" hidden="false" customHeight="true" outlineLevel="0" collapsed="false">
      <c r="A17" s="6" t="s">
        <v>26</v>
      </c>
      <c r="B17" s="8" t="n">
        <v>25938000</v>
      </c>
      <c r="C17" s="9" t="s">
        <v>27</v>
      </c>
    </row>
    <row r="18" customFormat="false" ht="15" hidden="false" customHeight="true" outlineLevel="0" collapsed="false">
      <c r="A18" s="6" t="s">
        <v>28</v>
      </c>
      <c r="B18" s="10" t="n">
        <v>0.065</v>
      </c>
      <c r="C18" s="6" t="s">
        <v>29</v>
      </c>
      <c r="D18" s="11" t="n">
        <f aca="false">B17*B18</f>
        <v>1685970</v>
      </c>
    </row>
    <row r="19" customFormat="false" ht="15" hidden="false" customHeight="true" outlineLevel="0" collapsed="false">
      <c r="A19" s="6" t="s">
        <v>30</v>
      </c>
      <c r="B19" s="7" t="s">
        <v>31</v>
      </c>
      <c r="C19" s="6" t="s">
        <v>32</v>
      </c>
      <c r="D19" s="11" t="n">
        <f aca="false">D18/12</f>
        <v>140497.5</v>
      </c>
    </row>
    <row r="20" customFormat="false" ht="15" hidden="false" customHeight="true" outlineLevel="0" collapsed="false">
      <c r="A20" s="6" t="s">
        <v>33</v>
      </c>
      <c r="B20" s="7" t="s">
        <v>34</v>
      </c>
      <c r="C20" s="6" t="s">
        <v>35</v>
      </c>
      <c r="D20" s="8" t="n">
        <v>1047633</v>
      </c>
    </row>
    <row r="22" customFormat="false" ht="15" hidden="false" customHeight="true" outlineLevel="0" collapsed="false">
      <c r="A22" s="5" t="s">
        <v>36</v>
      </c>
      <c r="B22" s="5"/>
      <c r="C22" s="5"/>
      <c r="D22" s="5"/>
    </row>
    <row r="23" customFormat="false" ht="15" hidden="false" customHeight="true" outlineLevel="0" collapsed="false">
      <c r="A23" s="6" t="s">
        <v>37</v>
      </c>
      <c r="B23" s="12" t="n">
        <v>65</v>
      </c>
      <c r="C23" s="6" t="s">
        <v>38</v>
      </c>
      <c r="D23" s="11" t="n">
        <f aca="false">B23*B8</f>
        <v>14572935</v>
      </c>
    </row>
    <row r="24" customFormat="false" ht="15" hidden="false" customHeight="true" outlineLevel="0" collapsed="false">
      <c r="A24" s="6" t="s">
        <v>39</v>
      </c>
      <c r="B24" s="12" t="n">
        <v>85</v>
      </c>
      <c r="C24" s="6" t="s">
        <v>40</v>
      </c>
      <c r="D24" s="11" t="n">
        <f aca="false">B24*B8</f>
        <v>19056915</v>
      </c>
    </row>
    <row r="25" customFormat="false" ht="15" hidden="false" customHeight="true" outlineLevel="0" collapsed="false">
      <c r="A25" s="6" t="s">
        <v>41</v>
      </c>
      <c r="B25" s="12" t="n">
        <v>110</v>
      </c>
      <c r="C25" s="6" t="s">
        <v>42</v>
      </c>
      <c r="D25" s="11" t="n">
        <f aca="false">B25*B8</f>
        <v>24661890</v>
      </c>
    </row>
    <row r="26" customFormat="false" ht="15" hidden="false" customHeight="true" outlineLevel="0" collapsed="false">
      <c r="A26" s="6" t="s">
        <v>43</v>
      </c>
      <c r="B26" s="10" t="n">
        <v>0.02</v>
      </c>
      <c r="C26" s="9" t="s">
        <v>44</v>
      </c>
    </row>
    <row r="27" customFormat="false" ht="15" hidden="false" customHeight="true" outlineLevel="0" collapsed="false">
      <c r="A27" s="6" t="s">
        <v>45</v>
      </c>
      <c r="B27" s="7" t="n">
        <v>6</v>
      </c>
      <c r="C27" s="6" t="s">
        <v>46</v>
      </c>
      <c r="D27" s="11" t="n">
        <f aca="false">(B18*B17)/12*B27</f>
        <v>842985</v>
      </c>
    </row>
    <row r="28" customFormat="false" ht="15" hidden="false" customHeight="true" outlineLevel="0" collapsed="false">
      <c r="A28" s="6" t="s">
        <v>47</v>
      </c>
      <c r="B28" s="10" t="n">
        <v>0.085</v>
      </c>
      <c r="C28" s="6" t="s">
        <v>48</v>
      </c>
      <c r="D28" s="11" t="n">
        <f aca="false">D20/B28</f>
        <v>12325094.1176471</v>
      </c>
    </row>
    <row r="30" customFormat="false" ht="15" hidden="false" customHeight="true" outlineLevel="0" collapsed="false">
      <c r="A30" s="5" t="s">
        <v>49</v>
      </c>
      <c r="B30" s="5"/>
      <c r="C30" s="5"/>
      <c r="D30" s="5"/>
    </row>
    <row r="31" customFormat="false" ht="15" hidden="false" customHeight="true" outlineLevel="0" collapsed="false">
      <c r="A31" s="6" t="s">
        <v>50</v>
      </c>
      <c r="B31" s="13" t="n">
        <v>162550</v>
      </c>
      <c r="C31" s="6" t="s">
        <v>51</v>
      </c>
      <c r="D31" s="12" t="n">
        <v>18</v>
      </c>
    </row>
    <row r="32" customFormat="false" ht="15" hidden="false" customHeight="true" outlineLevel="0" collapsed="false">
      <c r="A32" s="6" t="s">
        <v>52</v>
      </c>
      <c r="B32" s="7" t="n">
        <v>24</v>
      </c>
      <c r="C32" s="6" t="s">
        <v>53</v>
      </c>
      <c r="D32" s="10" t="n">
        <v>0.025</v>
      </c>
    </row>
    <row r="33" customFormat="false" ht="15" hidden="false" customHeight="true" outlineLevel="0" collapsed="false">
      <c r="A33" s="6" t="s">
        <v>54</v>
      </c>
      <c r="B33" s="10" t="n">
        <v>0.8</v>
      </c>
      <c r="C33" s="6" t="s">
        <v>55</v>
      </c>
      <c r="D33" s="10" t="n">
        <v>0.085</v>
      </c>
    </row>
    <row r="34" customFormat="false" ht="15" hidden="false" customHeight="true" outlineLevel="0" collapsed="false">
      <c r="A34" s="6" t="s">
        <v>56</v>
      </c>
      <c r="B34" s="12" t="n">
        <v>40</v>
      </c>
      <c r="C34" s="6" t="s">
        <v>57</v>
      </c>
      <c r="D34" s="11" t="n">
        <f aca="false">B34*B31</f>
        <v>6502000</v>
      </c>
    </row>
    <row r="35" customFormat="false" ht="15" hidden="false" customHeight="true" outlineLevel="0" collapsed="false">
      <c r="A35" s="6" t="s">
        <v>58</v>
      </c>
      <c r="B35" s="10" t="n">
        <v>0.06</v>
      </c>
      <c r="C35" s="6" t="s">
        <v>59</v>
      </c>
      <c r="D35" s="8" t="n">
        <v>3000000</v>
      </c>
    </row>
    <row r="36" customFormat="false" ht="15" hidden="false" customHeight="true" outlineLevel="0" collapsed="false">
      <c r="A36" s="6" t="s">
        <v>60</v>
      </c>
      <c r="B36" s="12" t="n">
        <v>12</v>
      </c>
      <c r="C36" s="6" t="s">
        <v>61</v>
      </c>
      <c r="D36" s="10" t="n">
        <v>0.03</v>
      </c>
    </row>
    <row r="37" customFormat="false" ht="15" hidden="false" customHeight="true" outlineLevel="0" collapsed="false">
      <c r="A37" s="6" t="s">
        <v>62</v>
      </c>
      <c r="B37" s="10" t="n">
        <v>0.04</v>
      </c>
    </row>
    <row r="39" customFormat="false" ht="15" hidden="false" customHeight="true" outlineLevel="0" collapsed="false">
      <c r="A39" s="5" t="s">
        <v>63</v>
      </c>
      <c r="B39" s="5"/>
      <c r="C39" s="5"/>
      <c r="D39" s="5"/>
    </row>
    <row r="40" customFormat="false" ht="15" hidden="false" customHeight="true" outlineLevel="0" collapsed="false">
      <c r="A40" s="6" t="s">
        <v>64</v>
      </c>
      <c r="B40" s="12" t="n">
        <v>12</v>
      </c>
      <c r="C40" s="6" t="s">
        <v>65</v>
      </c>
      <c r="D40" s="11" t="n">
        <f aca="false">B40*B8</f>
        <v>2690388</v>
      </c>
    </row>
    <row r="41" customFormat="false" ht="15" hidden="false" customHeight="true" outlineLevel="0" collapsed="false">
      <c r="A41" s="6" t="s">
        <v>66</v>
      </c>
      <c r="B41" s="8" t="n">
        <v>500000</v>
      </c>
      <c r="C41" s="6" t="s">
        <v>67</v>
      </c>
      <c r="D41" s="8" t="n">
        <v>750000</v>
      </c>
    </row>
    <row r="42" customFormat="false" ht="15" hidden="false" customHeight="true" outlineLevel="0" collapsed="false">
      <c r="A42" s="6" t="s">
        <v>68</v>
      </c>
      <c r="D42" s="11" t="n">
        <f aca="false">D40+B41+D41</f>
        <v>3940388</v>
      </c>
    </row>
    <row r="44" customFormat="false" ht="15" hidden="false" customHeight="true" outlineLevel="0" collapsed="false">
      <c r="A44" s="5" t="s">
        <v>69</v>
      </c>
      <c r="B44" s="5"/>
      <c r="C44" s="5"/>
      <c r="D44" s="5"/>
    </row>
    <row r="45" customFormat="false" ht="15" hidden="false" customHeight="true" outlineLevel="0" collapsed="false">
      <c r="A45" s="6" t="s">
        <v>70</v>
      </c>
      <c r="B45" s="10" t="n">
        <v>0.09</v>
      </c>
    </row>
    <row r="46" customFormat="false" ht="15" hidden="false" customHeight="true" outlineLevel="0" collapsed="false">
      <c r="A46" s="6" t="s">
        <v>71</v>
      </c>
      <c r="B46" s="6" t="s">
        <v>72</v>
      </c>
    </row>
    <row r="47" customFormat="false" ht="15" hidden="false" customHeight="true" outlineLevel="0" collapsed="false">
      <c r="A47" s="6" t="s">
        <v>73</v>
      </c>
      <c r="B47" s="10" t="n">
        <v>0.0275</v>
      </c>
    </row>
    <row r="48" customFormat="false" ht="15" hidden="false" customHeight="true" outlineLevel="0" collapsed="false">
      <c r="A48" s="6" t="s">
        <v>74</v>
      </c>
      <c r="B48" s="14" t="n">
        <v>1.5</v>
      </c>
    </row>
    <row r="49" customFormat="false" ht="15" hidden="false" customHeight="true" outlineLevel="0" collapsed="false">
      <c r="A49" s="6" t="s">
        <v>43</v>
      </c>
      <c r="B49" s="10" t="n">
        <v>0.02</v>
      </c>
    </row>
    <row r="50" customFormat="false" ht="15" hidden="false" customHeight="true" outlineLevel="0" collapsed="false">
      <c r="A50" s="6" t="s">
        <v>75</v>
      </c>
      <c r="B50" s="10" t="n">
        <v>0.15</v>
      </c>
    </row>
    <row r="51" customFormat="false" ht="15" hidden="false" customHeight="true" outlineLevel="0" collapsed="false">
      <c r="A51" s="6" t="s">
        <v>76</v>
      </c>
      <c r="B51" s="10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77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15"/>
      <c r="B4" s="15" t="s">
        <v>79</v>
      </c>
      <c r="C4" s="15" t="s">
        <v>80</v>
      </c>
      <c r="D4" s="15" t="s">
        <v>81</v>
      </c>
    </row>
    <row r="5" customFormat="false" ht="15" hidden="false" customHeight="true" outlineLevel="0" collapsed="false">
      <c r="A5" s="5" t="s">
        <v>82</v>
      </c>
      <c r="B5" s="5"/>
      <c r="C5" s="5"/>
      <c r="D5" s="5"/>
    </row>
    <row r="6" customFormat="false" ht="15" hidden="false" customHeight="true" outlineLevel="0" collapsed="false">
      <c r="A6" s="6" t="s">
        <v>83</v>
      </c>
      <c r="B6" s="16" t="n">
        <f aca="false">Assumptions!B23</f>
        <v>65</v>
      </c>
      <c r="C6" s="16" t="n">
        <f aca="false">Assumptions!B24</f>
        <v>85</v>
      </c>
      <c r="D6" s="16" t="n">
        <f aca="false">Assumptions!B25</f>
        <v>110</v>
      </c>
    </row>
    <row r="7" customFormat="false" ht="15" hidden="false" customHeight="true" outlineLevel="0" collapsed="false">
      <c r="A7" s="6" t="s">
        <v>84</v>
      </c>
      <c r="B7" s="11" t="n">
        <f aca="false">B6*Assumptions!B8</f>
        <v>14572935</v>
      </c>
      <c r="C7" s="11" t="n">
        <f aca="false">C6*Assumptions!B8</f>
        <v>19056915</v>
      </c>
      <c r="D7" s="11" t="n">
        <f aca="false">D6*Assumptions!B8</f>
        <v>24661890</v>
      </c>
    </row>
    <row r="8" customFormat="false" ht="15" hidden="false" customHeight="true" outlineLevel="0" collapsed="false">
      <c r="A8" s="6" t="s">
        <v>85</v>
      </c>
      <c r="B8" s="11" t="n">
        <f aca="false">-B7*Assumptions!B49</f>
        <v>-291458.7</v>
      </c>
      <c r="C8" s="11" t="n">
        <f aca="false">-C7*Assumptions!B49</f>
        <v>-381138.3</v>
      </c>
      <c r="D8" s="11" t="n">
        <f aca="false">-D7*Assumptions!B49</f>
        <v>-493237.8</v>
      </c>
    </row>
    <row r="9" customFormat="false" ht="15" hidden="false" customHeight="true" outlineLevel="0" collapsed="false">
      <c r="A9" s="6" t="s">
        <v>86</v>
      </c>
      <c r="B9" s="11" t="n">
        <f aca="false">-Assumptions!D18/12*Assumptions!B27</f>
        <v>-842985</v>
      </c>
      <c r="C9" s="11" t="n">
        <f aca="false">-Assumptions!D18/12*Assumptions!B27</f>
        <v>-842985</v>
      </c>
      <c r="D9" s="11" t="n">
        <f aca="false">-Assumptions!D18/12*Assumptions!B27</f>
        <v>-842985</v>
      </c>
    </row>
    <row r="10" customFormat="false" ht="15" hidden="false" customHeight="true" outlineLevel="0" collapsed="false">
      <c r="A10" s="17" t="s">
        <v>87</v>
      </c>
      <c r="B10" s="18" t="n">
        <f aca="false">SUM(B7:B9)</f>
        <v>13438491.3</v>
      </c>
      <c r="C10" s="18" t="n">
        <f aca="false">SUM(C7:C9)</f>
        <v>17832791.7</v>
      </c>
      <c r="D10" s="18" t="n">
        <f aca="false">SUM(D7:D9)</f>
        <v>23325667.2</v>
      </c>
    </row>
    <row r="12" customFormat="false" ht="15" hidden="false" customHeight="true" outlineLevel="0" collapsed="false">
      <c r="A12" s="5" t="s">
        <v>88</v>
      </c>
      <c r="B12" s="5"/>
      <c r="C12" s="5"/>
      <c r="D12" s="5"/>
    </row>
    <row r="13" customFormat="false" ht="15" hidden="false" customHeight="true" outlineLevel="0" collapsed="false">
      <c r="A13" s="6" t="s">
        <v>89</v>
      </c>
      <c r="B13" s="19" t="n">
        <f aca="false">Assumptions!B17</f>
        <v>25938000</v>
      </c>
      <c r="C13" s="19" t="n">
        <f aca="false">Assumptions!B17</f>
        <v>25938000</v>
      </c>
      <c r="D13" s="19" t="n">
        <f aca="false">Assumptions!B17</f>
        <v>25938000</v>
      </c>
    </row>
    <row r="14" customFormat="false" ht="15" hidden="false" customHeight="true" outlineLevel="0" collapsed="false">
      <c r="A14" s="17" t="s">
        <v>90</v>
      </c>
      <c r="B14" s="20" t="n">
        <f aca="false">B10-B13</f>
        <v>-12499508.7</v>
      </c>
      <c r="C14" s="20" t="n">
        <f aca="false">C10-C13</f>
        <v>-8105208.3</v>
      </c>
      <c r="D14" s="20" t="n">
        <f aca="false">D10-D13</f>
        <v>-2612332.8</v>
      </c>
    </row>
    <row r="15" customFormat="false" ht="15" hidden="false" customHeight="true" outlineLevel="0" collapsed="false">
      <c r="A15" s="17" t="s">
        <v>91</v>
      </c>
      <c r="B15" s="21" t="str">
        <f aca="false">IF(B14&gt;=0,"SURPLUS","SHORTFALL: "&amp;TEXT(-B14,"$#,##0"))</f>
        <v>SHORTFALL: $12,499,509</v>
      </c>
      <c r="C15" s="21" t="str">
        <f aca="false">IF(C14&gt;=0,"SURPLUS","SHORTFALL: "&amp;TEXT(-C14,"$#,##0"))</f>
        <v>SHORTFALL: $8,105,208</v>
      </c>
      <c r="D15" s="21" t="str">
        <f aca="false">IF(D14&gt;=0,"SURPLUS","SHORTFALL: "&amp;TEXT(-D14,"$#,##0"))</f>
        <v>SHORTFALL: $2,612,333</v>
      </c>
    </row>
    <row r="17" customFormat="false" ht="15" hidden="false" customHeight="true" outlineLevel="0" collapsed="false">
      <c r="A17" s="5" t="s">
        <v>92</v>
      </c>
      <c r="B17" s="5"/>
      <c r="C17" s="5"/>
      <c r="D17" s="5"/>
    </row>
    <row r="18" customFormat="false" ht="15" hidden="false" customHeight="true" outlineLevel="0" collapsed="false">
      <c r="A18" s="17" t="s">
        <v>93</v>
      </c>
      <c r="B18" s="17" t="s">
        <v>94</v>
      </c>
      <c r="C18" s="17" t="s">
        <v>95</v>
      </c>
    </row>
    <row r="19" customFormat="false" ht="15" hidden="false" customHeight="true" outlineLevel="0" collapsed="false">
      <c r="A19" s="6" t="s">
        <v>96</v>
      </c>
      <c r="B19" s="12" t="n">
        <v>78</v>
      </c>
      <c r="C19" s="22" t="s">
        <v>97</v>
      </c>
    </row>
    <row r="20" customFormat="false" ht="15" hidden="false" customHeight="true" outlineLevel="0" collapsed="false">
      <c r="A20" s="6" t="s">
        <v>98</v>
      </c>
      <c r="B20" s="12" t="n">
        <v>117</v>
      </c>
      <c r="C20" s="22" t="s">
        <v>99</v>
      </c>
    </row>
    <row r="21" customFormat="false" ht="15" hidden="false" customHeight="true" outlineLevel="0" collapsed="false">
      <c r="A21" s="6" t="s">
        <v>100</v>
      </c>
      <c r="B21" s="12" t="n">
        <v>70</v>
      </c>
      <c r="C21" s="22" t="s">
        <v>101</v>
      </c>
    </row>
    <row r="22" customFormat="false" ht="15" hidden="false" customHeight="true" outlineLevel="0" collapsed="false">
      <c r="A22" s="6" t="s">
        <v>102</v>
      </c>
      <c r="B22" s="12" t="n">
        <v>98</v>
      </c>
      <c r="C22" s="22" t="s">
        <v>103</v>
      </c>
    </row>
    <row r="23" customFormat="false" ht="15" hidden="false" customHeight="true" outlineLevel="0" collapsed="false">
      <c r="A23" s="6" t="s">
        <v>104</v>
      </c>
      <c r="B23" s="12" t="n">
        <v>54</v>
      </c>
      <c r="C23" s="22" t="s">
        <v>105</v>
      </c>
    </row>
    <row r="24" customFormat="false" ht="15" hidden="false" customHeight="true" outlineLevel="0" collapsed="false">
      <c r="A24" s="6" t="s">
        <v>106</v>
      </c>
      <c r="B24" s="12" t="n">
        <v>236</v>
      </c>
      <c r="C24" s="22" t="s">
        <v>107</v>
      </c>
    </row>
    <row r="25" customFormat="false" ht="15" hidden="false" customHeight="true" outlineLevel="0" collapsed="false">
      <c r="A25" s="6" t="s">
        <v>108</v>
      </c>
      <c r="B25" s="12" t="n">
        <v>85</v>
      </c>
      <c r="C25" s="22" t="s">
        <v>109</v>
      </c>
    </row>
    <row r="26" customFormat="false" ht="15" hidden="false" customHeight="true" outlineLevel="0" collapsed="false">
      <c r="A26" s="6" t="s">
        <v>110</v>
      </c>
      <c r="B26" s="12" t="n">
        <v>97</v>
      </c>
      <c r="C26" s="22" t="s">
        <v>111</v>
      </c>
    </row>
    <row r="28" customFormat="false" ht="15" hidden="false" customHeight="true" outlineLevel="0" collapsed="false">
      <c r="A28" s="17" t="s">
        <v>112</v>
      </c>
    </row>
    <row r="29" customFormat="false" ht="15" hidden="false" customHeight="true" outlineLevel="0" collapsed="false">
      <c r="A29" s="23" t="s">
        <v>113</v>
      </c>
    </row>
    <row r="30" customFormat="false" ht="15" hidden="false" customHeight="true" outlineLevel="0" collapsed="false">
      <c r="A30" s="23" t="s">
        <v>114</v>
      </c>
    </row>
    <row r="31" customFormat="false" ht="15" hidden="false" customHeight="true" outlineLevel="0" collapsed="false">
      <c r="A31" s="23" t="s">
        <v>115</v>
      </c>
    </row>
    <row r="32" customFormat="false" ht="15" hidden="false" customHeight="true" outlineLevel="0" collapsed="false">
      <c r="A32" s="23" t="s">
        <v>116</v>
      </c>
    </row>
    <row r="33" customFormat="false" ht="15" hidden="false" customHeight="true" outlineLevel="0" collapsed="false">
      <c r="A33" s="2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118</v>
      </c>
    </row>
    <row r="2" customFormat="false" ht="15" hidden="false" customHeight="true" outlineLevel="0" collapsed="false">
      <c r="A2" s="3" t="s">
        <v>78</v>
      </c>
    </row>
    <row r="4" customFormat="false" ht="26.25" hidden="false" customHeight="true" outlineLevel="0" collapsed="false">
      <c r="A4" s="15"/>
      <c r="B4" s="15" t="s">
        <v>119</v>
      </c>
      <c r="C4" s="15" t="s">
        <v>120</v>
      </c>
      <c r="D4" s="15" t="s">
        <v>121</v>
      </c>
      <c r="E4" s="15" t="s">
        <v>122</v>
      </c>
      <c r="F4" s="15" t="s">
        <v>123</v>
      </c>
      <c r="G4" s="15" t="s">
        <v>124</v>
      </c>
      <c r="H4" s="15" t="s">
        <v>125</v>
      </c>
      <c r="I4" s="15" t="s">
        <v>126</v>
      </c>
    </row>
    <row r="5" customFormat="false" ht="15" hidden="false" customHeight="true" outlineLevel="0" collapsed="false">
      <c r="A5" s="5" t="s">
        <v>127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true" outlineLevel="0" collapsed="false">
      <c r="A6" s="6" t="s">
        <v>128</v>
      </c>
      <c r="B6" s="19" t="n">
        <f aca="false">Assumptions!D35</f>
        <v>3000000</v>
      </c>
    </row>
    <row r="7" customFormat="false" ht="15" hidden="false" customHeight="true" outlineLevel="0" collapsed="false">
      <c r="A7" s="6" t="s">
        <v>129</v>
      </c>
      <c r="B7" s="19" t="n">
        <f aca="false">-Assumptions!D35</f>
        <v>-3000000</v>
      </c>
    </row>
    <row r="8" customFormat="false" ht="15" hidden="false" customHeight="true" outlineLevel="0" collapsed="false">
      <c r="A8" s="6" t="s">
        <v>130</v>
      </c>
      <c r="B8" s="1" t="n">
        <f aca="false">-Assumptions!D34</f>
        <v>-6502000</v>
      </c>
      <c r="C8" s="11" t="n">
        <f aca="false">Assumptions!B35*Assumptions!D31*Assumptions!B31*5</f>
        <v>877770</v>
      </c>
    </row>
    <row r="9" customFormat="false" ht="15" hidden="false" customHeight="true" outlineLevel="0" collapsed="false">
      <c r="A9" s="17" t="s">
        <v>131</v>
      </c>
      <c r="B9" s="18" t="n">
        <v>0</v>
      </c>
      <c r="C9" s="18" t="n">
        <f aca="false">-Assumptions!B35*Assumptions!D31*Assumptions!B31*5</f>
        <v>-877770</v>
      </c>
      <c r="D9" s="18" t="n">
        <f aca="false">SUM(D6:D8)</f>
        <v>0</v>
      </c>
      <c r="E9" s="18" t="n">
        <f aca="false">SUM(E6:E8)</f>
        <v>0</v>
      </c>
      <c r="F9" s="18" t="n">
        <f aca="false">SUM(F6:F8)</f>
        <v>0</v>
      </c>
      <c r="G9" s="18" t="n">
        <f aca="false">SUM(G6:G8)</f>
        <v>0</v>
      </c>
      <c r="H9" s="18" t="n">
        <f aca="false">SUM(H6:H8)</f>
        <v>0</v>
      </c>
      <c r="I9" s="18" t="n">
        <f aca="false">SUM(I6:I8)</f>
        <v>0</v>
      </c>
    </row>
    <row r="11" customFormat="false" ht="15" hidden="false" customHeight="true" outlineLevel="0" collapsed="false">
      <c r="A11" s="5" t="s">
        <v>132</v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true" outlineLevel="0" collapsed="false">
      <c r="A12" s="6" t="s">
        <v>133</v>
      </c>
      <c r="B12" s="19" t="n">
        <f aca="false">Assumptions!D20</f>
        <v>1047633</v>
      </c>
      <c r="C12" s="11" t="n">
        <f aca="false">Assumptions!D20*0.25</f>
        <v>261908.25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</row>
    <row r="13" customFormat="false" ht="15" hidden="false" customHeight="true" outlineLevel="0" collapsed="false">
      <c r="A13" s="6" t="s">
        <v>134</v>
      </c>
      <c r="B13" s="11" t="n">
        <v>0</v>
      </c>
      <c r="C13" s="11" t="n">
        <f aca="false">Assumptions!D31*Assumptions!B31*0.25</f>
        <v>731475</v>
      </c>
      <c r="D13" s="11" t="n">
        <f aca="false">Assumptions!D31*Assumptions!B31*0.6*(1+Assumptions!D32)</f>
        <v>1799428.5</v>
      </c>
      <c r="E13" s="11" t="n">
        <f aca="false">Assumptions!D31*Assumptions!B31*Assumptions!B33*(1+Assumptions!D32)^2</f>
        <v>2459218.95</v>
      </c>
      <c r="F13" s="11" t="n">
        <f aca="false">Assumptions!D31*Assumptions!B31*Assumptions!B33*(1+Assumptions!D32)^3</f>
        <v>2520699.42375</v>
      </c>
      <c r="G13" s="11" t="n">
        <f aca="false">Assumptions!D31*Assumptions!B31*Assumptions!B33*(1+Assumptions!D32)^4</f>
        <v>2583716.90934375</v>
      </c>
      <c r="H13" s="11" t="n">
        <f aca="false">Assumptions!D31*Assumptions!B31*Assumptions!B33*(1+Assumptions!D32)^5</f>
        <v>2648309.83207734</v>
      </c>
    </row>
    <row r="14" customFormat="false" ht="15" hidden="false" customHeight="true" outlineLevel="0" collapsed="false">
      <c r="A14" s="6" t="s">
        <v>135</v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</row>
    <row r="15" customFormat="false" ht="15" hidden="false" customHeight="true" outlineLevel="0" collapsed="false">
      <c r="A15" s="17" t="s">
        <v>136</v>
      </c>
      <c r="B15" s="24" t="n">
        <f aca="false">SUM(B12:B14)</f>
        <v>1047633</v>
      </c>
      <c r="C15" s="24" t="n">
        <f aca="false">SUM(C12:C14)</f>
        <v>993383.25</v>
      </c>
      <c r="D15" s="24" t="n">
        <f aca="false">SUM(D12:D14)</f>
        <v>1799428.5</v>
      </c>
      <c r="E15" s="24" t="n">
        <f aca="false">SUM(E12:E14)</f>
        <v>2459218.95</v>
      </c>
      <c r="F15" s="24" t="n">
        <f aca="false">SUM(F12:F14)</f>
        <v>2520699.42375</v>
      </c>
      <c r="G15" s="24" t="n">
        <f aca="false">SUM(G12:G14)</f>
        <v>2583716.90934375</v>
      </c>
      <c r="H15" s="24" t="n">
        <f aca="false">SUM(H12:H14)</f>
        <v>2648309.83207734</v>
      </c>
      <c r="I15" s="24" t="n">
        <f aca="false">SUM(I12:I14)</f>
        <v>0</v>
      </c>
    </row>
    <row r="17" customFormat="false" ht="15" hidden="false" customHeight="true" outlineLevel="0" collapsed="false">
      <c r="A17" s="5" t="s">
        <v>137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true" outlineLevel="0" collapsed="false">
      <c r="A18" s="6" t="s">
        <v>138</v>
      </c>
      <c r="B18" s="19" t="n">
        <f aca="false">Assumptions!B47*Assumptions!B10</f>
        <v>1028516.5</v>
      </c>
      <c r="C18" s="19" t="n">
        <f aca="false">Assumptions!B47*Assumptions!B10</f>
        <v>1028516.5</v>
      </c>
      <c r="D18" s="19" t="n">
        <f aca="false">Assumptions!B47*Assumptions!B10</f>
        <v>1028516.5</v>
      </c>
      <c r="E18" s="19" t="n">
        <f aca="false">Assumptions!B47*Assumptions!B10</f>
        <v>1028516.5</v>
      </c>
      <c r="F18" s="19" t="n">
        <f aca="false">Assumptions!B47*Assumptions!B10</f>
        <v>1028516.5</v>
      </c>
      <c r="G18" s="19" t="n">
        <f aca="false">Assumptions!B47*Assumptions!B10</f>
        <v>1028516.5</v>
      </c>
      <c r="H18" s="19" t="n">
        <f aca="false">Assumptions!B47*Assumptions!B10</f>
        <v>1028516.5</v>
      </c>
    </row>
    <row r="19" customFormat="false" ht="15" hidden="false" customHeight="true" outlineLevel="0" collapsed="false">
      <c r="A19" s="6" t="s">
        <v>139</v>
      </c>
      <c r="B19" s="11" t="n">
        <f aca="false">Assumptions!B48*Assumptions!B8</f>
        <v>336298.5</v>
      </c>
      <c r="C19" s="11" t="n">
        <f aca="false">Assumptions!B48*Assumptions!B8</f>
        <v>336298.5</v>
      </c>
      <c r="D19" s="11" t="n">
        <f aca="false">Assumptions!B48*Assumptions!B8</f>
        <v>336298.5</v>
      </c>
      <c r="E19" s="11" t="n">
        <f aca="false">Assumptions!B48*Assumptions!B8</f>
        <v>336298.5</v>
      </c>
      <c r="F19" s="11" t="n">
        <f aca="false">Assumptions!B48*Assumptions!B8</f>
        <v>336298.5</v>
      </c>
      <c r="G19" s="11" t="n">
        <f aca="false">Assumptions!B48*Assumptions!B8</f>
        <v>336298.5</v>
      </c>
      <c r="H19" s="11" t="n">
        <f aca="false">Assumptions!B48*Assumptions!B8</f>
        <v>336298.5</v>
      </c>
    </row>
    <row r="20" customFormat="false" ht="15" hidden="false" customHeight="true" outlineLevel="0" collapsed="false">
      <c r="A20" s="6" t="s">
        <v>140</v>
      </c>
      <c r="B20" s="11" t="n">
        <f aca="false">Assumptions!B36*Assumptions!D7</f>
        <v>739788</v>
      </c>
      <c r="C20" s="11" t="n">
        <f aca="false">Assumptions!B36*Assumptions!B8</f>
        <v>2690388</v>
      </c>
      <c r="D20" s="11" t="n">
        <f aca="false">Assumptions!B36*Assumptions!B8*(1+Assumptions!D36)^1</f>
        <v>2771099.64</v>
      </c>
      <c r="E20" s="11" t="n">
        <f aca="false">Assumptions!B36*Assumptions!B8*(1+Assumptions!D36)^2</f>
        <v>2854232.6292</v>
      </c>
      <c r="F20" s="11" t="n">
        <f aca="false">Assumptions!B36*Assumptions!B8*(1+Assumptions!D36)^3</f>
        <v>2939859.608076</v>
      </c>
      <c r="G20" s="11" t="n">
        <f aca="false">Assumptions!B36*Assumptions!B8*(1+Assumptions!D36)^4</f>
        <v>3028055.39631828</v>
      </c>
      <c r="H20" s="11" t="n">
        <f aca="false">Assumptions!B36*Assumptions!B8*(1+Assumptions!D36)^5</f>
        <v>3118897.05820783</v>
      </c>
    </row>
    <row r="21" customFormat="false" ht="15" hidden="false" customHeight="true" outlineLevel="0" collapsed="false">
      <c r="A21" s="6" t="s">
        <v>62</v>
      </c>
      <c r="B21" s="11" t="n">
        <f aca="false">Assumptions!B37*MAX(B15,0)</f>
        <v>41905.32</v>
      </c>
      <c r="C21" s="11" t="n">
        <f aca="false">Assumptions!B37*MAX(C15,0)</f>
        <v>39735.33</v>
      </c>
      <c r="D21" s="11" t="n">
        <f aca="false">Assumptions!B37*MAX(D15,0)</f>
        <v>71977.14</v>
      </c>
      <c r="E21" s="11" t="n">
        <f aca="false">Assumptions!B37*MAX(E15,0)</f>
        <v>98368.758</v>
      </c>
      <c r="F21" s="11" t="n">
        <f aca="false">Assumptions!B37*MAX(F15,0)</f>
        <v>100827.97695</v>
      </c>
      <c r="G21" s="11" t="n">
        <f aca="false">Assumptions!B37*MAX(G15,0)</f>
        <v>103348.67637375</v>
      </c>
      <c r="H21" s="11" t="n">
        <f aca="false">Assumptions!B37*MAX(H15,0)</f>
        <v>105932.393283094</v>
      </c>
    </row>
    <row r="22" customFormat="false" ht="15" hidden="false" customHeight="true" outlineLevel="0" collapsed="false">
      <c r="A22" s="17" t="s">
        <v>141</v>
      </c>
      <c r="B22" s="24" t="n">
        <f aca="false">SUM(B18:B21)</f>
        <v>2146508.32</v>
      </c>
      <c r="C22" s="24" t="n">
        <f aca="false">SUM(C18:C21)</f>
        <v>4094938.33</v>
      </c>
      <c r="D22" s="24" t="n">
        <f aca="false">SUM(D18:D21)</f>
        <v>4207891.78</v>
      </c>
      <c r="E22" s="24" t="n">
        <f aca="false">SUM(E18:E21)</f>
        <v>4317416.3872</v>
      </c>
      <c r="F22" s="24" t="n">
        <f aca="false">SUM(F18:F21)</f>
        <v>4405502.585026</v>
      </c>
      <c r="G22" s="24" t="n">
        <f aca="false">SUM(G18:G21)</f>
        <v>4496219.07269203</v>
      </c>
      <c r="H22" s="24" t="n">
        <f aca="false">SUM(H18:H21)</f>
        <v>4589644.45149092</v>
      </c>
      <c r="I22" s="24" t="n">
        <f aca="false">SUM(I18:I21)</f>
        <v>0</v>
      </c>
    </row>
    <row r="23" customFormat="false" ht="15" hidden="false" customHeight="false" outlineLevel="0" collapsed="false"/>
    <row r="24" customFormat="false" ht="15" hidden="false" customHeight="true" outlineLevel="0" collapsed="false">
      <c r="A24" s="5" t="s">
        <v>142</v>
      </c>
      <c r="B24" s="5"/>
      <c r="C24" s="5"/>
      <c r="D24" s="5"/>
      <c r="E24" s="5"/>
      <c r="F24" s="5"/>
      <c r="G24" s="5"/>
      <c r="H24" s="5"/>
      <c r="I24" s="5"/>
    </row>
    <row r="25" customFormat="false" ht="15" hidden="false" customHeight="true" outlineLevel="0" collapsed="false">
      <c r="A25" s="17" t="s">
        <v>143</v>
      </c>
      <c r="B25" s="25" t="n">
        <f aca="false">B15-B22</f>
        <v>-1098875.32</v>
      </c>
      <c r="C25" s="25" t="n">
        <f aca="false">C15-C22</f>
        <v>-3101555.08</v>
      </c>
      <c r="D25" s="25" t="n">
        <f aca="false">D15-D22</f>
        <v>-2408463.28</v>
      </c>
      <c r="E25" s="25" t="n">
        <f aca="false">E15-E22</f>
        <v>-1858197.4372</v>
      </c>
      <c r="F25" s="25" t="n">
        <f aca="false">F15-F22</f>
        <v>-1884803.161276</v>
      </c>
      <c r="G25" s="25" t="n">
        <f aca="false">G15-G22</f>
        <v>-1912502.16334828</v>
      </c>
      <c r="H25" s="25" t="n">
        <f aca="false">H15-H22</f>
        <v>-1941334.61941358</v>
      </c>
    </row>
    <row r="26" customFormat="false" ht="15" hidden="false" customHeight="false" outlineLevel="0" collapsed="false"/>
    <row r="27" customFormat="false" ht="15" hidden="false" customHeight="true" outlineLevel="0" collapsed="false">
      <c r="A27" s="5" t="s">
        <v>144</v>
      </c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true" outlineLevel="0" collapsed="false">
      <c r="A28" s="6" t="s">
        <v>29</v>
      </c>
      <c r="B28" s="19" t="n">
        <f aca="false">-Assumptions!D18</f>
        <v>-1685970</v>
      </c>
      <c r="C28" s="19" t="n">
        <f aca="false">-Assumptions!D18</f>
        <v>-1685970</v>
      </c>
      <c r="D28" s="19" t="n">
        <f aca="false">-Assumptions!D18</f>
        <v>-1685970</v>
      </c>
      <c r="E28" s="19" t="n">
        <f aca="false">-Assumptions!D18</f>
        <v>-1685970</v>
      </c>
      <c r="F28" s="19" t="n">
        <f aca="false">-Assumptions!D18</f>
        <v>-1685970</v>
      </c>
      <c r="G28" s="19" t="n">
        <f aca="false">-Assumptions!D18</f>
        <v>-1685970</v>
      </c>
      <c r="H28" s="19" t="n">
        <f aca="false">-Assumptions!D18</f>
        <v>-1685970</v>
      </c>
    </row>
    <row r="29" customFormat="false" ht="15" hidden="false" customHeight="true" outlineLevel="0" collapsed="false">
      <c r="A29" s="17" t="s">
        <v>145</v>
      </c>
      <c r="B29" s="20" t="n">
        <f aca="false">B25+B28+B9</f>
        <v>-2784845.32</v>
      </c>
      <c r="C29" s="20" t="n">
        <f aca="false">C25+C28+C9</f>
        <v>-5665295.08</v>
      </c>
      <c r="D29" s="20" t="n">
        <f aca="false">D25+D28+D9</f>
        <v>-4094433.28</v>
      </c>
      <c r="E29" s="20" t="n">
        <f aca="false">E25+E28+E9</f>
        <v>-3544167.4372</v>
      </c>
      <c r="F29" s="20" t="n">
        <f aca="false">F25+F28+F9</f>
        <v>-3570773.161276</v>
      </c>
      <c r="G29" s="20" t="n">
        <f aca="false">G25+G28+G9</f>
        <v>-3598472.16334828</v>
      </c>
      <c r="H29" s="20" t="n">
        <f aca="false">H25+H28+H9</f>
        <v>-3627304.61941358</v>
      </c>
    </row>
    <row r="30" customFormat="false" ht="15" hidden="false" customHeight="false" outlineLevel="0" collapsed="false"/>
    <row r="31" customFormat="false" ht="15" hidden="false" customHeight="true" outlineLevel="0" collapsed="false">
      <c r="A31" s="5" t="s">
        <v>146</v>
      </c>
      <c r="B31" s="5"/>
      <c r="C31" s="5"/>
      <c r="D31" s="5"/>
      <c r="E31" s="5"/>
      <c r="F31" s="5"/>
      <c r="G31" s="5"/>
      <c r="H31" s="5"/>
      <c r="I31" s="5"/>
    </row>
    <row r="32" customFormat="false" ht="15" hidden="false" customHeight="true" outlineLevel="0" collapsed="false">
      <c r="A32" s="6" t="s">
        <v>147</v>
      </c>
      <c r="B32" s="19" t="n">
        <f aca="false">H25</f>
        <v>-1941334.61941358</v>
      </c>
    </row>
    <row r="33" customFormat="false" ht="15" hidden="false" customHeight="true" outlineLevel="0" collapsed="false">
      <c r="A33" s="6" t="s">
        <v>55</v>
      </c>
      <c r="B33" s="26" t="n">
        <f aca="false">Assumptions!D33</f>
        <v>0.085</v>
      </c>
    </row>
    <row r="34" customFormat="false" ht="15" hidden="false" customHeight="true" outlineLevel="0" collapsed="false">
      <c r="A34" s="6" t="s">
        <v>84</v>
      </c>
      <c r="B34" s="11" t="n">
        <f aca="false">IF(B32&gt;0,B32/B33,0)</f>
        <v>0</v>
      </c>
      <c r="C34" s="27" t="s">
        <v>148</v>
      </c>
    </row>
    <row r="35" customFormat="false" ht="15" hidden="false" customHeight="true" outlineLevel="0" collapsed="false">
      <c r="A35" s="6" t="s">
        <v>149</v>
      </c>
      <c r="B35" s="11" t="n">
        <f aca="false">-B34*Assumptions!B49</f>
        <v>-0</v>
      </c>
    </row>
    <row r="36" customFormat="false" ht="15" hidden="false" customHeight="true" outlineLevel="0" collapsed="false">
      <c r="A36" s="6" t="s">
        <v>150</v>
      </c>
      <c r="B36" s="19" t="n">
        <f aca="false">-Assumptions!B17</f>
        <v>-25938000</v>
      </c>
    </row>
    <row r="37" customFormat="false" ht="15" hidden="false" customHeight="true" outlineLevel="0" collapsed="false">
      <c r="A37" s="17" t="s">
        <v>151</v>
      </c>
      <c r="B37" s="20" t="n">
        <f aca="false">IF(B34&gt;0,B34+B35+B36,B36)</f>
        <v>-25938000</v>
      </c>
    </row>
    <row r="38" customFormat="false" ht="15" hidden="false" customHeight="false" outlineLevel="0" collapsed="false"/>
    <row r="39" customFormat="false" ht="15" hidden="false" customHeight="true" outlineLevel="0" collapsed="false">
      <c r="A39" s="5" t="s">
        <v>152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6" t="s">
        <v>153</v>
      </c>
      <c r="B40" s="19" t="n">
        <f aca="false">-I9</f>
        <v>-0</v>
      </c>
    </row>
    <row r="41" customFormat="false" ht="15" hidden="false" customHeight="true" outlineLevel="0" collapsed="false">
      <c r="A41" s="6" t="s">
        <v>154</v>
      </c>
      <c r="B41" s="28" t="n">
        <f aca="false">IF(B40=0,0,B34/B40)</f>
        <v>0</v>
      </c>
    </row>
    <row r="42" customFormat="false" ht="15" hidden="false" customHeight="true" outlineLevel="0" collapsed="false">
      <c r="A42" s="6" t="s">
        <v>155</v>
      </c>
      <c r="B42" s="9" t="s">
        <v>156</v>
      </c>
    </row>
    <row r="43" customFormat="false" ht="15" hidden="false" customHeight="true" outlineLevel="0" collapsed="false">
      <c r="A43" s="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20"/>
  </cols>
  <sheetData>
    <row r="1" customFormat="false" ht="17.25" hidden="false" customHeight="true" outlineLevel="0" collapsed="false">
      <c r="A1" s="2" t="s">
        <v>158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15" t="s">
        <v>159</v>
      </c>
      <c r="B4" s="15" t="s">
        <v>160</v>
      </c>
      <c r="C4" s="15" t="s">
        <v>161</v>
      </c>
      <c r="D4" s="15" t="s">
        <v>162</v>
      </c>
      <c r="E4" s="15" t="s">
        <v>163</v>
      </c>
      <c r="F4" s="15" t="s">
        <v>164</v>
      </c>
      <c r="G4" s="15" t="s">
        <v>165</v>
      </c>
    </row>
    <row r="5" customFormat="false" ht="15" hidden="false" customHeight="true" outlineLevel="0" collapsed="false">
      <c r="A5" s="6" t="s">
        <v>166</v>
      </c>
      <c r="B5" s="29" t="s">
        <v>167</v>
      </c>
      <c r="C5" s="29" t="s">
        <v>168</v>
      </c>
      <c r="D5" s="29" t="s">
        <v>169</v>
      </c>
      <c r="E5" s="29" t="s">
        <v>169</v>
      </c>
      <c r="F5" s="29" t="s">
        <v>169</v>
      </c>
      <c r="G5" s="29" t="s">
        <v>169</v>
      </c>
    </row>
    <row r="6" customFormat="false" ht="15" hidden="false" customHeight="true" outlineLevel="0" collapsed="false">
      <c r="A6" s="6" t="s">
        <v>170</v>
      </c>
      <c r="B6" s="29" t="s">
        <v>171</v>
      </c>
      <c r="C6" s="29" t="s">
        <v>172</v>
      </c>
      <c r="D6" s="29" t="s">
        <v>173</v>
      </c>
      <c r="E6" s="29" t="s">
        <v>174</v>
      </c>
      <c r="F6" s="29" t="s">
        <v>175</v>
      </c>
      <c r="G6" s="29" t="s">
        <v>176</v>
      </c>
    </row>
    <row r="7" customFormat="false" ht="15" hidden="false" customHeight="true" outlineLevel="0" collapsed="false">
      <c r="A7" s="6" t="s">
        <v>177</v>
      </c>
      <c r="B7" s="29" t="s">
        <v>178</v>
      </c>
      <c r="C7" s="29" t="s">
        <v>179</v>
      </c>
      <c r="D7" s="29" t="s">
        <v>179</v>
      </c>
      <c r="E7" s="29" t="s">
        <v>179</v>
      </c>
      <c r="F7" s="29" t="s">
        <v>179</v>
      </c>
      <c r="G7" s="29" t="s">
        <v>180</v>
      </c>
    </row>
    <row r="8" customFormat="false" ht="15" hidden="false" customHeight="true" outlineLevel="0" collapsed="false">
      <c r="A8" s="6" t="s">
        <v>181</v>
      </c>
      <c r="B8" s="29" t="s">
        <v>179</v>
      </c>
      <c r="C8" s="29" t="s">
        <v>179</v>
      </c>
      <c r="D8" s="29" t="s">
        <v>179</v>
      </c>
      <c r="E8" s="29" t="s">
        <v>179</v>
      </c>
      <c r="F8" s="29" t="s">
        <v>179</v>
      </c>
      <c r="G8" s="29" t="s">
        <v>182</v>
      </c>
    </row>
    <row r="9" customFormat="false" ht="15" hidden="false" customHeight="true" outlineLevel="0" collapsed="false">
      <c r="A9" s="6" t="s">
        <v>183</v>
      </c>
      <c r="B9" s="29" t="s">
        <v>184</v>
      </c>
      <c r="C9" s="29" t="s">
        <v>185</v>
      </c>
      <c r="D9" s="29" t="s">
        <v>186</v>
      </c>
      <c r="E9" s="29" t="s">
        <v>179</v>
      </c>
      <c r="F9" s="29" t="s">
        <v>179</v>
      </c>
      <c r="G9" s="29" t="s">
        <v>186</v>
      </c>
    </row>
    <row r="10" customFormat="false" ht="15" hidden="false" customHeight="true" outlineLevel="0" collapsed="false">
      <c r="A10" s="6" t="s">
        <v>187</v>
      </c>
      <c r="B10" s="30"/>
      <c r="C10" s="30"/>
      <c r="D10" s="30"/>
      <c r="E10" s="30"/>
      <c r="F10" s="30"/>
      <c r="G10" s="30"/>
    </row>
    <row r="11" customFormat="false" ht="15" hidden="false" customHeight="true" outlineLevel="0" collapsed="false">
      <c r="A11" s="6" t="s">
        <v>188</v>
      </c>
      <c r="B11" s="30"/>
      <c r="C11" s="30"/>
      <c r="D11" s="30"/>
      <c r="E11" s="30"/>
      <c r="F11" s="30"/>
      <c r="G11" s="30"/>
    </row>
    <row r="12" customFormat="false" ht="15" hidden="false" customHeight="true" outlineLevel="0" collapsed="false">
      <c r="A12" s="6" t="s">
        <v>189</v>
      </c>
      <c r="B12" s="30"/>
      <c r="C12" s="30"/>
      <c r="D12" s="30"/>
      <c r="E12" s="30"/>
      <c r="F12" s="30"/>
      <c r="G12" s="30"/>
    </row>
    <row r="13" customFormat="false" ht="15" hidden="false" customHeight="true" outlineLevel="0" collapsed="false">
      <c r="A13" s="6" t="s">
        <v>190</v>
      </c>
      <c r="B13" s="30"/>
      <c r="C13" s="30"/>
      <c r="D13" s="30"/>
      <c r="E13" s="30"/>
      <c r="F13" s="30"/>
      <c r="G13" s="30"/>
    </row>
    <row r="14" customFormat="false" ht="15" hidden="false" customHeight="true" outlineLevel="0" collapsed="false">
      <c r="A14" s="6" t="s">
        <v>191</v>
      </c>
      <c r="B14" s="30"/>
      <c r="C14" s="30"/>
      <c r="D14" s="30"/>
      <c r="E14" s="30"/>
      <c r="F14" s="30"/>
      <c r="G14" s="30"/>
    </row>
    <row r="15" customFormat="false" ht="15" hidden="false" customHeight="true" outlineLevel="0" collapsed="false">
      <c r="A15" s="6" t="s">
        <v>192</v>
      </c>
      <c r="B15" s="30"/>
      <c r="C15" s="30"/>
      <c r="D15" s="30"/>
      <c r="E15" s="30"/>
      <c r="F15" s="30"/>
      <c r="G15" s="30"/>
    </row>
    <row r="16" customFormat="false" ht="15" hidden="false" customHeight="true" outlineLevel="0" collapsed="false">
      <c r="A16" s="6" t="s">
        <v>193</v>
      </c>
      <c r="B16" s="30"/>
      <c r="C16" s="30"/>
      <c r="D16" s="30"/>
      <c r="E16" s="30"/>
      <c r="F16" s="30"/>
      <c r="G16" s="30"/>
    </row>
    <row r="17" customFormat="false" ht="15" hidden="false" customHeight="true" outlineLevel="0" collapsed="false">
      <c r="A17" s="6" t="s">
        <v>194</v>
      </c>
      <c r="B17" s="30"/>
      <c r="C17" s="30"/>
      <c r="D17" s="30"/>
      <c r="E17" s="30"/>
      <c r="F17" s="30"/>
      <c r="G17" s="30"/>
    </row>
    <row r="18" customFormat="false" ht="15" hidden="false" customHeight="true" outlineLevel="0" collapsed="false">
      <c r="A18" s="6" t="s">
        <v>195</v>
      </c>
      <c r="B18" s="30"/>
      <c r="C18" s="30"/>
      <c r="D18" s="30"/>
      <c r="E18" s="30"/>
      <c r="F18" s="30"/>
      <c r="G18" s="30"/>
    </row>
    <row r="19" customFormat="false" ht="15" hidden="false" customHeight="true" outlineLevel="0" collapsed="false">
      <c r="A19" s="6" t="s">
        <v>196</v>
      </c>
      <c r="B19" s="30"/>
      <c r="C19" s="30"/>
      <c r="D19" s="30"/>
      <c r="E19" s="30"/>
      <c r="F19" s="30"/>
      <c r="G19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20"/>
  </cols>
  <sheetData>
    <row r="1" customFormat="false" ht="17.25" hidden="false" customHeight="true" outlineLevel="0" collapsed="false">
      <c r="A1" s="2" t="s">
        <v>197</v>
      </c>
    </row>
    <row r="2" customFormat="false" ht="15" hidden="false" customHeight="true" outlineLevel="0" collapsed="false">
      <c r="A2" s="3" t="s">
        <v>198</v>
      </c>
    </row>
    <row r="4" customFormat="false" ht="15" hidden="false" customHeight="true" outlineLevel="0" collapsed="false">
      <c r="A4" s="15" t="s">
        <v>83</v>
      </c>
      <c r="B4" s="15" t="s">
        <v>199</v>
      </c>
      <c r="C4" s="15" t="s">
        <v>200</v>
      </c>
      <c r="D4" s="15" t="s">
        <v>201</v>
      </c>
      <c r="E4" s="15" t="s">
        <v>202</v>
      </c>
    </row>
    <row r="5" customFormat="false" ht="15" hidden="false" customHeight="true" outlineLevel="0" collapsed="false">
      <c r="A5" s="12" t="n">
        <v>50</v>
      </c>
      <c r="B5" s="11" t="n">
        <f aca="false">A5*Assumptions!B8</f>
        <v>11209950</v>
      </c>
      <c r="C5" s="11" t="n">
        <f aca="false">B5*(1-Assumptions!B49)-Assumptions!D18/12*6</f>
        <v>10142766</v>
      </c>
      <c r="D5" s="11" t="n">
        <f aca="false">-Assumptions!B17</f>
        <v>-25938000</v>
      </c>
      <c r="E5" s="24" t="n">
        <f aca="false">C5+D5</f>
        <v>-15795234</v>
      </c>
    </row>
    <row r="6" customFormat="false" ht="15" hidden="false" customHeight="true" outlineLevel="0" collapsed="false">
      <c r="A6" s="12" t="n">
        <v>60</v>
      </c>
      <c r="B6" s="11" t="n">
        <f aca="false">A6*Assumptions!B8</f>
        <v>13451940</v>
      </c>
      <c r="C6" s="11" t="n">
        <f aca="false">B6*(1-Assumptions!B49)-Assumptions!D18/12*6</f>
        <v>12339916.2</v>
      </c>
      <c r="D6" s="11" t="n">
        <f aca="false">-Assumptions!B17</f>
        <v>-25938000</v>
      </c>
      <c r="E6" s="24" t="n">
        <f aca="false">C6+D6</f>
        <v>-13598083.8</v>
      </c>
    </row>
    <row r="7" customFormat="false" ht="15" hidden="false" customHeight="true" outlineLevel="0" collapsed="false">
      <c r="A7" s="12" t="n">
        <v>70</v>
      </c>
      <c r="B7" s="11" t="n">
        <f aca="false">A7*Assumptions!B8</f>
        <v>15693930</v>
      </c>
      <c r="C7" s="11" t="n">
        <f aca="false">B7*(1-Assumptions!B49)-Assumptions!D18/12*6</f>
        <v>14537066.4</v>
      </c>
      <c r="D7" s="11" t="n">
        <f aca="false">-Assumptions!B17</f>
        <v>-25938000</v>
      </c>
      <c r="E7" s="24" t="n">
        <f aca="false">C7+D7</f>
        <v>-11400933.6</v>
      </c>
    </row>
    <row r="8" customFormat="false" ht="15" hidden="false" customHeight="true" outlineLevel="0" collapsed="false">
      <c r="A8" s="12" t="n">
        <v>80</v>
      </c>
      <c r="B8" s="11" t="n">
        <f aca="false">A8*Assumptions!B8</f>
        <v>17935920</v>
      </c>
      <c r="C8" s="11" t="n">
        <f aca="false">B8*(1-Assumptions!B49)-Assumptions!D18/12*6</f>
        <v>16734216.6</v>
      </c>
      <c r="D8" s="11" t="n">
        <f aca="false">-Assumptions!B17</f>
        <v>-25938000</v>
      </c>
      <c r="E8" s="24" t="n">
        <f aca="false">C8+D8</f>
        <v>-9203783.4</v>
      </c>
    </row>
    <row r="9" customFormat="false" ht="15" hidden="false" customHeight="true" outlineLevel="0" collapsed="false">
      <c r="A9" s="12" t="n">
        <v>85</v>
      </c>
      <c r="B9" s="11" t="n">
        <f aca="false">A9*Assumptions!B8</f>
        <v>19056915</v>
      </c>
      <c r="C9" s="11" t="n">
        <f aca="false">B9*(1-Assumptions!B49)-Assumptions!D18/12*6</f>
        <v>17832791.7</v>
      </c>
      <c r="D9" s="11" t="n">
        <f aca="false">-Assumptions!B17</f>
        <v>-25938000</v>
      </c>
      <c r="E9" s="24" t="n">
        <f aca="false">C9+D9</f>
        <v>-8105208.3</v>
      </c>
    </row>
    <row r="10" customFormat="false" ht="15" hidden="false" customHeight="true" outlineLevel="0" collapsed="false">
      <c r="A10" s="12" t="n">
        <v>90</v>
      </c>
      <c r="B10" s="11" t="n">
        <f aca="false">A10*Assumptions!B8</f>
        <v>20177910</v>
      </c>
      <c r="C10" s="11" t="n">
        <f aca="false">B10*(1-Assumptions!B49)-Assumptions!D18/12*6</f>
        <v>18931366.8</v>
      </c>
      <c r="D10" s="11" t="n">
        <f aca="false">-Assumptions!B17</f>
        <v>-25938000</v>
      </c>
      <c r="E10" s="24" t="n">
        <f aca="false">C10+D10</f>
        <v>-7006633.2</v>
      </c>
    </row>
    <row r="11" customFormat="false" ht="15" hidden="false" customHeight="true" outlineLevel="0" collapsed="false">
      <c r="A11" s="12" t="n">
        <v>100</v>
      </c>
      <c r="B11" s="11" t="n">
        <f aca="false">A11*Assumptions!B8</f>
        <v>22419900</v>
      </c>
      <c r="C11" s="11" t="n">
        <f aca="false">B11*(1-Assumptions!B49)-Assumptions!D18/12*6</f>
        <v>21128517</v>
      </c>
      <c r="D11" s="11" t="n">
        <f aca="false">-Assumptions!B17</f>
        <v>-25938000</v>
      </c>
      <c r="E11" s="24" t="n">
        <f aca="false">C11+D11</f>
        <v>-4809483</v>
      </c>
    </row>
    <row r="12" customFormat="false" ht="15" hidden="false" customHeight="true" outlineLevel="0" collapsed="false">
      <c r="A12" s="12" t="n">
        <v>110</v>
      </c>
      <c r="B12" s="11" t="n">
        <f aca="false">A12*Assumptions!B8</f>
        <v>24661890</v>
      </c>
      <c r="C12" s="11" t="n">
        <f aca="false">B12*(1-Assumptions!B49)-Assumptions!D18/12*6</f>
        <v>23325667.2</v>
      </c>
      <c r="D12" s="11" t="n">
        <f aca="false">-Assumptions!B17</f>
        <v>-25938000</v>
      </c>
      <c r="E12" s="24" t="n">
        <f aca="false">C12+D12</f>
        <v>-2612332.8</v>
      </c>
    </row>
    <row r="13" customFormat="false" ht="15" hidden="false" customHeight="true" outlineLevel="0" collapsed="false">
      <c r="A13" s="12" t="n">
        <v>116</v>
      </c>
      <c r="B13" s="11" t="n">
        <f aca="false">A13*Assumptions!B8</f>
        <v>26007084</v>
      </c>
      <c r="C13" s="11" t="n">
        <f aca="false">B13*(1-Assumptions!B49)-Assumptions!D18/12*6</f>
        <v>24643957.32</v>
      </c>
      <c r="D13" s="11" t="n">
        <f aca="false">-Assumptions!B17</f>
        <v>-25938000</v>
      </c>
      <c r="E13" s="24" t="n">
        <f aca="false">C13+D13</f>
        <v>-1294042.68</v>
      </c>
    </row>
    <row r="14" customFormat="false" ht="15" hidden="false" customHeight="true" outlineLevel="0" collapsed="false">
      <c r="A14" s="12" t="n">
        <v>120</v>
      </c>
      <c r="B14" s="11" t="n">
        <f aca="false">A14*Assumptions!B8</f>
        <v>26903880</v>
      </c>
      <c r="C14" s="11" t="n">
        <f aca="false">B14*(1-Assumptions!B49)-Assumptions!D18/12*6</f>
        <v>25522817.4</v>
      </c>
      <c r="D14" s="11" t="n">
        <f aca="false">-Assumptions!B17</f>
        <v>-25938000</v>
      </c>
      <c r="E14" s="24" t="n">
        <f aca="false">C14+D14</f>
        <v>-415182.600000002</v>
      </c>
    </row>
    <row r="15" customFormat="false" ht="15" hidden="false" customHeight="true" outlineLevel="0" collapsed="false">
      <c r="A15" s="12" t="n">
        <v>130</v>
      </c>
      <c r="B15" s="11" t="n">
        <f aca="false">A15*Assumptions!B8</f>
        <v>29145870</v>
      </c>
      <c r="C15" s="11" t="n">
        <f aca="false">B15*(1-Assumptions!B49)-Assumptions!D18/12*6</f>
        <v>27719967.6</v>
      </c>
      <c r="D15" s="11" t="n">
        <f aca="false">-Assumptions!B17</f>
        <v>-25938000</v>
      </c>
      <c r="E15" s="24" t="n">
        <f aca="false">C15+D15</f>
        <v>1781967.6</v>
      </c>
    </row>
    <row r="16" customFormat="false" ht="15" hidden="false" customHeight="true" outlineLevel="0" collapsed="false">
      <c r="A16" s="12" t="n">
        <v>140</v>
      </c>
      <c r="B16" s="11" t="n">
        <f aca="false">A16*Assumptions!B8</f>
        <v>31387860</v>
      </c>
      <c r="C16" s="11" t="n">
        <f aca="false">B16*(1-Assumptions!B49)-Assumptions!D18/12*6</f>
        <v>29917117.8</v>
      </c>
      <c r="D16" s="11" t="n">
        <f aca="false">-Assumptions!B17</f>
        <v>-25938000</v>
      </c>
      <c r="E16" s="24" t="n">
        <f aca="false">C16+D16</f>
        <v>3979117.8</v>
      </c>
    </row>
    <row r="17" customFormat="false" ht="15" hidden="false" customHeight="true" outlineLevel="0" collapsed="false">
      <c r="A17" s="12" t="n">
        <v>150</v>
      </c>
      <c r="B17" s="11" t="n">
        <f aca="false">A17*Assumptions!B8</f>
        <v>33629850</v>
      </c>
      <c r="C17" s="11" t="n">
        <f aca="false">B17*(1-Assumptions!B49)-Assumptions!D18/12*6</f>
        <v>32114268</v>
      </c>
      <c r="D17" s="11" t="n">
        <f aca="false">-Assumptions!B17</f>
        <v>-25938000</v>
      </c>
      <c r="E17" s="24" t="n">
        <f aca="false">C17+D17</f>
        <v>6176268</v>
      </c>
    </row>
    <row r="20" customFormat="false" ht="15" hidden="false" customHeight="true" outlineLevel="0" collapsed="false">
      <c r="A20" s="3" t="s">
        <v>203</v>
      </c>
    </row>
    <row r="22" customFormat="false" ht="15" hidden="false" customHeight="true" outlineLevel="0" collapsed="false">
      <c r="A22" s="15" t="s">
        <v>204</v>
      </c>
      <c r="B22" s="15" t="s">
        <v>205</v>
      </c>
      <c r="C22" s="15" t="s">
        <v>206</v>
      </c>
      <c r="D22" s="15" t="s">
        <v>187</v>
      </c>
      <c r="E22" s="15" t="s">
        <v>207</v>
      </c>
    </row>
    <row r="23" customFormat="false" ht="15" hidden="false" customHeight="true" outlineLevel="0" collapsed="false">
      <c r="A23" s="12" t="n">
        <v>14</v>
      </c>
      <c r="B23" s="11" t="n">
        <f aca="false">A23*Assumptions!B8*Assumptions!B33</f>
        <v>2511028.8</v>
      </c>
      <c r="C23" s="11" t="n">
        <f aca="false">-Assumptions!B36*Assumptions!B8</f>
        <v>-2690388</v>
      </c>
      <c r="D23" s="11" t="n">
        <f aca="false">B23+C23</f>
        <v>-179359.2</v>
      </c>
      <c r="E23" s="31" t="n">
        <f aca="false">IF(Assumptions!D18=0,0,D23/Assumptions!D18)</f>
        <v>-0.106383387604761</v>
      </c>
    </row>
    <row r="24" customFormat="false" ht="15" hidden="false" customHeight="true" outlineLevel="0" collapsed="false">
      <c r="A24" s="12" t="n">
        <v>16</v>
      </c>
      <c r="B24" s="11" t="n">
        <f aca="false">A24*Assumptions!B8*Assumptions!B33</f>
        <v>2869747.2</v>
      </c>
      <c r="C24" s="11" t="n">
        <f aca="false">-Assumptions!B36*Assumptions!B8</f>
        <v>-2690388</v>
      </c>
      <c r="D24" s="11" t="n">
        <f aca="false">B24+C24</f>
        <v>179359.2</v>
      </c>
      <c r="E24" s="31" t="n">
        <f aca="false">IF(Assumptions!D18=0,0,D24/Assumptions!D18)</f>
        <v>0.106383387604762</v>
      </c>
    </row>
    <row r="25" customFormat="false" ht="15" hidden="false" customHeight="true" outlineLevel="0" collapsed="false">
      <c r="A25" s="12" t="n">
        <v>18</v>
      </c>
      <c r="B25" s="11" t="n">
        <f aca="false">A25*Assumptions!B8*Assumptions!B33</f>
        <v>3228465.6</v>
      </c>
      <c r="C25" s="11" t="n">
        <f aca="false">-Assumptions!B36*Assumptions!B8</f>
        <v>-2690388</v>
      </c>
      <c r="D25" s="11" t="n">
        <f aca="false">B25+C25</f>
        <v>538077.6</v>
      </c>
      <c r="E25" s="31" t="n">
        <f aca="false">IF(Assumptions!D18=0,0,D25/Assumptions!D18)</f>
        <v>0.319150162814285</v>
      </c>
    </row>
    <row r="26" customFormat="false" ht="15" hidden="false" customHeight="true" outlineLevel="0" collapsed="false">
      <c r="A26" s="12" t="n">
        <v>20</v>
      </c>
      <c r="B26" s="11" t="n">
        <f aca="false">A26*Assumptions!B8*Assumptions!B33</f>
        <v>3587184</v>
      </c>
      <c r="C26" s="11" t="n">
        <f aca="false">-Assumptions!B36*Assumptions!B8</f>
        <v>-2690388</v>
      </c>
      <c r="D26" s="11" t="n">
        <f aca="false">B26+C26</f>
        <v>896796</v>
      </c>
      <c r="E26" s="31" t="n">
        <f aca="false">IF(Assumptions!D18=0,0,D26/Assumptions!D18)</f>
        <v>0.531916938023808</v>
      </c>
    </row>
    <row r="27" customFormat="false" ht="15" hidden="false" customHeight="true" outlineLevel="0" collapsed="false">
      <c r="A27" s="12" t="n">
        <v>22</v>
      </c>
      <c r="B27" s="11" t="n">
        <f aca="false">A27*Assumptions!B8*Assumptions!B33</f>
        <v>3945902.4</v>
      </c>
      <c r="C27" s="11" t="n">
        <f aca="false">-Assumptions!B36*Assumptions!B8</f>
        <v>-2690388</v>
      </c>
      <c r="D27" s="11" t="n">
        <f aca="false">B27+C27</f>
        <v>1255514.4</v>
      </c>
      <c r="E27" s="31" t="n">
        <f aca="false">IF(Assumptions!D18=0,0,D27/Assumptions!D18)</f>
        <v>0.744683713233332</v>
      </c>
    </row>
    <row r="28" customFormat="false" ht="15" hidden="false" customHeight="true" outlineLevel="0" collapsed="false">
      <c r="A28" s="12" t="n">
        <v>24</v>
      </c>
      <c r="B28" s="11" t="n">
        <f aca="false">A28*Assumptions!B8*Assumptions!B33</f>
        <v>4304620.8</v>
      </c>
      <c r="C28" s="11" t="n">
        <f aca="false">-Assumptions!B36*Assumptions!B8</f>
        <v>-2690388</v>
      </c>
      <c r="D28" s="11" t="n">
        <f aca="false">B28+C28</f>
        <v>1614232.8</v>
      </c>
      <c r="E28" s="31" t="n">
        <f aca="false">IF(Assumptions!D18=0,0,D28/Assumptions!D18)</f>
        <v>0.957450488442855</v>
      </c>
    </row>
    <row r="29" customFormat="false" ht="15" hidden="false" customHeight="true" outlineLevel="0" collapsed="false">
      <c r="A29" s="12" t="n">
        <v>26</v>
      </c>
      <c r="B29" s="11" t="n">
        <f aca="false">A29*Assumptions!B8*Assumptions!B33</f>
        <v>4663339.2</v>
      </c>
      <c r="C29" s="11" t="n">
        <f aca="false">-Assumptions!B36*Assumptions!B8</f>
        <v>-2690388</v>
      </c>
      <c r="D29" s="11" t="n">
        <f aca="false">B29+C29</f>
        <v>1972951.2</v>
      </c>
      <c r="E29" s="31" t="n">
        <f aca="false">IF(Assumptions!D18=0,0,D29/Assumptions!D18)</f>
        <v>1.17021726365238</v>
      </c>
    </row>
    <row r="32" customFormat="false" ht="15" hidden="false" customHeight="true" outlineLevel="0" collapsed="false">
      <c r="A32" s="3" t="s">
        <v>208</v>
      </c>
    </row>
    <row r="34" customFormat="false" ht="26.25" hidden="false" customHeight="true" outlineLevel="0" collapsed="false">
      <c r="A34" s="15" t="s">
        <v>55</v>
      </c>
      <c r="B34" s="15" t="s">
        <v>209</v>
      </c>
      <c r="C34" s="15" t="s">
        <v>210</v>
      </c>
      <c r="D34" s="15" t="s">
        <v>211</v>
      </c>
      <c r="E34" s="15" t="s">
        <v>212</v>
      </c>
    </row>
    <row r="35" customFormat="false" ht="15" hidden="false" customHeight="true" outlineLevel="0" collapsed="false">
      <c r="A35" s="10" t="n">
        <v>0.065</v>
      </c>
      <c r="B35" s="11" t="n">
        <f aca="false">Assumptions!D31*Assumptions!B8*Assumptions!B33-Assumptions!B36*Assumptions!B8</f>
        <v>538077.6</v>
      </c>
      <c r="C35" s="11" t="n">
        <f aca="false">B35/A35</f>
        <v>8278116.92307692</v>
      </c>
      <c r="D35" s="11" t="n">
        <f aca="false">-Assumptions!B17</f>
        <v>-25938000</v>
      </c>
      <c r="E35" s="24" t="n">
        <f aca="false">C35*(1-Assumptions!B49)+D35</f>
        <v>-17825445.4153846</v>
      </c>
    </row>
    <row r="36" customFormat="false" ht="15" hidden="false" customHeight="true" outlineLevel="0" collapsed="false">
      <c r="A36" s="10" t="n">
        <v>0.07</v>
      </c>
      <c r="B36" s="11" t="n">
        <f aca="false">Assumptions!D31*Assumptions!B8*Assumptions!B33-Assumptions!B36*Assumptions!B8</f>
        <v>538077.6</v>
      </c>
      <c r="C36" s="11" t="n">
        <f aca="false">B36/A36</f>
        <v>7686822.85714286</v>
      </c>
      <c r="D36" s="11" t="n">
        <f aca="false">-Assumptions!B17</f>
        <v>-25938000</v>
      </c>
      <c r="E36" s="24" t="n">
        <f aca="false">C36*(1-Assumptions!B49)+D36</f>
        <v>-18404913.6</v>
      </c>
    </row>
    <row r="37" customFormat="false" ht="15" hidden="false" customHeight="true" outlineLevel="0" collapsed="false">
      <c r="A37" s="10" t="n">
        <v>0.075</v>
      </c>
      <c r="B37" s="11" t="n">
        <f aca="false">Assumptions!D31*Assumptions!B8*Assumptions!B33-Assumptions!B36*Assumptions!B8</f>
        <v>538077.6</v>
      </c>
      <c r="C37" s="11" t="n">
        <f aca="false">B37/A37</f>
        <v>7174368</v>
      </c>
      <c r="D37" s="11" t="n">
        <f aca="false">-Assumptions!B17</f>
        <v>-25938000</v>
      </c>
      <c r="E37" s="24" t="n">
        <f aca="false">C37*(1-Assumptions!B49)+D37</f>
        <v>-18907119.36</v>
      </c>
    </row>
    <row r="38" customFormat="false" ht="15" hidden="false" customHeight="true" outlineLevel="0" collapsed="false">
      <c r="A38" s="10" t="n">
        <v>0.08</v>
      </c>
      <c r="B38" s="11" t="n">
        <f aca="false">Assumptions!D31*Assumptions!B8*Assumptions!B33-Assumptions!B36*Assumptions!B8</f>
        <v>538077.6</v>
      </c>
      <c r="C38" s="11" t="n">
        <f aca="false">B38/A38</f>
        <v>6725970</v>
      </c>
      <c r="D38" s="11" t="n">
        <f aca="false">-Assumptions!B17</f>
        <v>-25938000</v>
      </c>
      <c r="E38" s="24" t="n">
        <f aca="false">C38*(1-Assumptions!B49)+D38</f>
        <v>-19346549.4</v>
      </c>
    </row>
    <row r="39" customFormat="false" ht="15" hidden="false" customHeight="true" outlineLevel="0" collapsed="false">
      <c r="A39" s="10" t="n">
        <v>0.085</v>
      </c>
      <c r="B39" s="11" t="n">
        <f aca="false">Assumptions!D31*Assumptions!B8*Assumptions!B33-Assumptions!B36*Assumptions!B8</f>
        <v>538077.6</v>
      </c>
      <c r="C39" s="11" t="n">
        <f aca="false">B39/A39</f>
        <v>6330324.70588235</v>
      </c>
      <c r="D39" s="11" t="n">
        <f aca="false">-Assumptions!B17</f>
        <v>-25938000</v>
      </c>
      <c r="E39" s="24" t="n">
        <f aca="false">C39*(1-Assumptions!B49)+D39</f>
        <v>-19734281.7882353</v>
      </c>
    </row>
    <row r="40" customFormat="false" ht="15" hidden="false" customHeight="true" outlineLevel="0" collapsed="false">
      <c r="A40" s="10" t="n">
        <v>0.09</v>
      </c>
      <c r="B40" s="11" t="n">
        <f aca="false">Assumptions!D31*Assumptions!B8*Assumptions!B33-Assumptions!B36*Assumptions!B8</f>
        <v>538077.6</v>
      </c>
      <c r="C40" s="11" t="n">
        <f aca="false">B40/A40</f>
        <v>5978640</v>
      </c>
      <c r="D40" s="11" t="n">
        <f aca="false">-Assumptions!B17</f>
        <v>-25938000</v>
      </c>
      <c r="E40" s="24" t="n">
        <f aca="false">C40*(1-Assumptions!B49)+D40</f>
        <v>-20078932.8</v>
      </c>
    </row>
    <row r="41" customFormat="false" ht="15" hidden="false" customHeight="true" outlineLevel="0" collapsed="false">
      <c r="A41" s="10" t="n">
        <v>0.095</v>
      </c>
      <c r="B41" s="11" t="n">
        <f aca="false">Assumptions!D31*Assumptions!B8*Assumptions!B33-Assumptions!B36*Assumptions!B8</f>
        <v>538077.6</v>
      </c>
      <c r="C41" s="11" t="n">
        <f aca="false">B41/A41</f>
        <v>5663974.73684211</v>
      </c>
      <c r="D41" s="11" t="n">
        <f aca="false">-Assumptions!B17</f>
        <v>-25938000</v>
      </c>
      <c r="E41" s="24" t="n">
        <f aca="false">C41*(1-Assumptions!B49)+D41</f>
        <v>-20387304.7578947</v>
      </c>
    </row>
    <row r="42" customFormat="false" ht="15" hidden="false" customHeight="true" outlineLevel="0" collapsed="false">
      <c r="A42" s="10" t="n">
        <v>0.1</v>
      </c>
      <c r="B42" s="11" t="n">
        <f aca="false">Assumptions!D31*Assumptions!B8*Assumptions!B33-Assumptions!B36*Assumptions!B8</f>
        <v>538077.6</v>
      </c>
      <c r="C42" s="11" t="n">
        <f aca="false">B42/A42</f>
        <v>5380776</v>
      </c>
      <c r="D42" s="11" t="n">
        <f aca="false">-Assumptions!B17</f>
        <v>-25938000</v>
      </c>
      <c r="E42" s="24" t="n">
        <f aca="false">C42*(1-Assumptions!B49)+D42</f>
        <v>-20664839.52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2026-02-14T04:19:41Z</dcterms:created>
  <dc:creator>openpyxl</dc:creator>
  <dc:description/>
  <dc:language>en-US</dc:language>
  <cp:lastModifiedBy/>
  <dcterms:modified xsi:type="dcterms:W3CDTF">2026-02-14T04:21:46Z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