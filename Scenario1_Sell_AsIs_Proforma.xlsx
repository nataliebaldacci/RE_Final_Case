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ell As-Is" sheetId="2" state="visible" r:id="rId4"/>
    <sheet name="Sensitivity Analysis" sheetId="3" state="visible" r:id="rId5"/>
    <sheet name="Comparable Sales Evid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<sst xmlns="http://schemas.openxmlformats.org/spreadsheetml/2006/main" count="163" uniqueCount="155">
  <si>
    <t xml:space="preserve">Scenario 1: Sell As-Is — Assumptions</t>
  </si>
  <si>
    <t xml:space="preserve">648 &amp; 650 Grassmere Park Drive, Nashville, TN 37211</t>
  </si>
  <si>
    <t xml:space="preserve">Blue = adjustable inputs  |  Black = formulas  |  Source notes in Column E</t>
  </si>
  <si>
    <t xml:space="preserve">SUBJECT PROPERTY</t>
  </si>
  <si>
    <t xml:space="preserve">Total Building Area (SF)</t>
  </si>
  <si>
    <t xml:space="preserve">Building Area</t>
  </si>
  <si>
    <t xml:space="preserve">Source: Exhibit A, Case Study</t>
  </si>
  <si>
    <t xml:space="preserve">Main Building (SF)</t>
  </si>
  <si>
    <t xml:space="preserve">Annex Building (SF)</t>
  </si>
  <si>
    <t xml:space="preserve">Source: Exhibit A</t>
  </si>
  <si>
    <t xml:space="preserve">Total Site Area (acres)</t>
  </si>
  <si>
    <t xml:space="preserve">Total Site Area (SF)</t>
  </si>
  <si>
    <t xml:space="preserve">Year Built</t>
  </si>
  <si>
    <t xml:space="preserve">Building Age (2026)</t>
  </si>
  <si>
    <t xml:space="preserve">Zoning</t>
  </si>
  <si>
    <t xml:space="preserve">IWD</t>
  </si>
  <si>
    <t xml:space="preserve">Parking Spaces</t>
  </si>
  <si>
    <t xml:space="preserve">Current Appraised Value</t>
  </si>
  <si>
    <t xml:space="preserve">Appraised $/SF</t>
  </si>
  <si>
    <t xml:space="preserve">Source: Davidson Co. Assessor</t>
  </si>
  <si>
    <t xml:space="preserve">Acquisition Price (2015)</t>
  </si>
  <si>
    <t xml:space="preserve">Acquisition $/SF</t>
  </si>
  <si>
    <t xml:space="preserve">Source: Exhibit E, Ownership History</t>
  </si>
  <si>
    <t xml:space="preserve">CAPITAL STRUCTURE (Exhibit G)</t>
  </si>
  <si>
    <t xml:space="preserve">Loan Balance</t>
  </si>
  <si>
    <t xml:space="preserve">Loan Effective Date</t>
  </si>
  <si>
    <t xml:space="preserve">11/5/2024</t>
  </si>
  <si>
    <t xml:space="preserve">Source: Exhibit G</t>
  </si>
  <si>
    <t xml:space="preserve">SOFR Rate (at closing)</t>
  </si>
  <si>
    <t xml:space="preserve">Spread (bps)</t>
  </si>
  <si>
    <t xml:space="preserve">All-In Interest Rate</t>
  </si>
  <si>
    <t xml:space="preserve">Day Count</t>
  </si>
  <si>
    <t xml:space="preserve">30/360</t>
  </si>
  <si>
    <t xml:space="preserve">Annual Debt Service (IO)</t>
  </si>
  <si>
    <t xml:space="preserve">Loan Maturity</t>
  </si>
  <si>
    <t xml:space="preserve">December 2029</t>
  </si>
  <si>
    <t xml:space="preserve">Monthly Debt Service</t>
  </si>
  <si>
    <t xml:space="preserve">Interest Only Period</t>
  </si>
  <si>
    <t xml:space="preserve">60 months</t>
  </si>
  <si>
    <t xml:space="preserve">CURRENT OPERATING INCOME (Exhibit F)</t>
  </si>
  <si>
    <t xml:space="preserve">Asurion Annual Rent</t>
  </si>
  <si>
    <t xml:space="preserve">Asurion Lease Expiration</t>
  </si>
  <si>
    <t xml:space="preserve">March 2027</t>
  </si>
  <si>
    <t xml:space="preserve">Source: Exhibit F / Case Study</t>
  </si>
  <si>
    <t xml:space="preserve">Other Rental Income</t>
  </si>
  <si>
    <t xml:space="preserve">Tenant Reimbursements</t>
  </si>
  <si>
    <t xml:space="preserve">Source: Exhibit F</t>
  </si>
  <si>
    <t xml:space="preserve">Total Revenue (2025 Budget)</t>
  </si>
  <si>
    <t xml:space="preserve">Occupancy Rate (Annex)</t>
  </si>
  <si>
    <t xml:space="preserve">27%</t>
  </si>
  <si>
    <t xml:space="preserve">Source: Exhibit F (61,649 / 224,199)</t>
  </si>
  <si>
    <t xml:space="preserve">Total Operating Expenses</t>
  </si>
  <si>
    <t xml:space="preserve">Management Fee</t>
  </si>
  <si>
    <t xml:space="preserve">Net Operating Income (NOI)</t>
  </si>
  <si>
    <t xml:space="preserve">Interest Expense (2025)</t>
  </si>
  <si>
    <t xml:space="preserve">SCENARIO 1: SALE ASSUMPTIONS</t>
  </si>
  <si>
    <t xml:space="preserve">Low Sale Price ($/SF)</t>
  </si>
  <si>
    <t xml:space="preserve">Low Total Sale Price</t>
  </si>
  <si>
    <t xml:space="preserve">Comp-supported: distressed suburban office</t>
  </si>
  <si>
    <t xml:space="preserve">Base Sale Price ($/SF)</t>
  </si>
  <si>
    <t xml:space="preserve">Base Total Sale Price</t>
  </si>
  <si>
    <t xml:space="preserve">Comp-supported: 424 Church, Burton Hills</t>
  </si>
  <si>
    <t xml:space="preserve">High Sale Price ($/SF)</t>
  </si>
  <si>
    <t xml:space="preserve">High Total Sale Price</t>
  </si>
  <si>
    <t xml:space="preserve">Near acquisition basis ($116/SF)</t>
  </si>
  <si>
    <t xml:space="preserve">Selling Costs (% of sale)</t>
  </si>
  <si>
    <t xml:space="preserve">Broker commissions + legal</t>
  </si>
  <si>
    <t xml:space="preserve">Marketing Period (months)</t>
  </si>
  <si>
    <t xml:space="preserve">Monthly Carry Cost</t>
  </si>
  <si>
    <t xml:space="preserve">Debt service during marketing</t>
  </si>
  <si>
    <t xml:space="preserve">Buyer Cap Rate (Asurion)</t>
  </si>
  <si>
    <t xml:space="preserve">Income Approach Value</t>
  </si>
  <si>
    <t xml:space="preserve">Applied to Asurion NOI only</t>
  </si>
  <si>
    <t xml:space="preserve">Scenario 1: Sell Property As-Is</t>
  </si>
  <si>
    <t xml:space="preserve">Low Case</t>
  </si>
  <si>
    <t xml:space="preserve">Base Case</t>
  </si>
  <si>
    <t xml:space="preserve">High Case</t>
  </si>
  <si>
    <t xml:space="preserve">SALE PROCEEDS</t>
  </si>
  <si>
    <t xml:space="preserve">Sale Price ($/SF)</t>
  </si>
  <si>
    <t xml:space="preserve">Gross Sale Price</t>
  </si>
  <si>
    <t xml:space="preserve">Less: Selling Costs</t>
  </si>
  <si>
    <t xml:space="preserve">2% of gross sale price</t>
  </si>
  <si>
    <t xml:space="preserve">Less: Carry Cost (marketing period)</t>
  </si>
  <si>
    <t xml:space="preserve">6 months debt service during marketing</t>
  </si>
  <si>
    <t xml:space="preserve">Net Sale Proceeds</t>
  </si>
  <si>
    <t xml:space="preserve">DEBT RETIREMENT</t>
  </si>
  <si>
    <t xml:space="preserve">Existing Loan Balance</t>
  </si>
  <si>
    <t xml:space="preserve">Source: Exhibit G, $16.25M IO loan</t>
  </si>
  <si>
    <t xml:space="preserve">Net Proceeds Less Debt</t>
  </si>
  <si>
    <t xml:space="preserve">Surplus / (Shortfall)</t>
  </si>
  <si>
    <t xml:space="preserve">INCOME APPROACH VALUATION</t>
  </si>
  <si>
    <t xml:space="preserve">Asurion Annual Rent (in-place)</t>
  </si>
  <si>
    <t xml:space="preserve">Less: Estimated OpEx (annex)</t>
  </si>
  <si>
    <t xml:space="preserve">Est. 35% expense ratio on annex</t>
  </si>
  <si>
    <t xml:space="preserve">Annex NOI</t>
  </si>
  <si>
    <t xml:space="preserve">Buyer Cap Rate</t>
  </si>
  <si>
    <t xml:space="preserve">Implied Value (Income Approach)</t>
  </si>
  <si>
    <t xml:space="preserve">Annex NOI / Cap Rate — occupied portion only</t>
  </si>
  <si>
    <t xml:space="preserve">Income Approach $/SF (on total bldg)</t>
  </si>
  <si>
    <t xml:space="preserve">EQUITY POSITION ANALYSIS</t>
  </si>
  <si>
    <t xml:space="preserve">Original Equity (Acq. Price - Loan)</t>
  </si>
  <si>
    <t xml:space="preserve">$25.9M acquisition - $16.3M loan</t>
  </si>
  <si>
    <t xml:space="preserve">Cumulative Cash Shortfalls (est.)</t>
  </si>
  <si>
    <t xml:space="preserve">Est. negative cash flow since 2022 vacancy</t>
  </si>
  <si>
    <t xml:space="preserve">Total Equity at Risk</t>
  </si>
  <si>
    <t xml:space="preserve">Equity Recovered (Net Proceeds - Debt)</t>
  </si>
  <si>
    <t xml:space="preserve">Base case net proceeds after debt payoff</t>
  </si>
  <si>
    <t xml:space="preserve">Net Equity Loss</t>
  </si>
  <si>
    <t xml:space="preserve">SUBJECT PROPERTY DISCOUNT FACTORS</t>
  </si>
  <si>
    <t xml:space="preserve">73% vacant — main building empty since 2022</t>
  </si>
  <si>
    <t xml:space="preserve">Asurion annex lease expires March 2027 (no renewal expected)</t>
  </si>
  <si>
    <t xml:space="preserve">Single access point (Trousdale Drive only)</t>
  </si>
  <si>
    <t xml:space="preserve">CC&amp;Rs restrict uses until February 2033</t>
  </si>
  <si>
    <t xml:space="preserve">Loan maturity December 2029 creates time pressure</t>
  </si>
  <si>
    <t xml:space="preserve">IWD zoning limits buyer pool to industrial/warehouse users</t>
  </si>
  <si>
    <t xml:space="preserve">41-year-old building requires significant capital investment</t>
  </si>
  <si>
    <t xml:space="preserve">Sensitivity: Sale Price vs. Net Equity Position</t>
  </si>
  <si>
    <t xml:space="preserve">Gross Proceeds</t>
  </si>
  <si>
    <t xml:space="preserve">Net Proceeds</t>
  </si>
  <si>
    <t xml:space="preserve">Less Debt</t>
  </si>
  <si>
    <t xml:space="preserve">Breakeven $/SF (approx)</t>
  </si>
  <si>
    <t xml:space="preserve">Comparable Sales Evidence — Distressed / Value-Add Suburban Office</t>
  </si>
  <si>
    <t xml:space="preserve">Property</t>
  </si>
  <si>
    <t xml:space="preserve">$/SF</t>
  </si>
  <si>
    <t xml:space="preserve">Sale Year</t>
  </si>
  <si>
    <t xml:space="preserve">Total SF</t>
  </si>
  <si>
    <t xml:space="preserve">Yr Built</t>
  </si>
  <si>
    <t xml:space="preserve">Acres</t>
  </si>
  <si>
    <t xml:space="preserve">Notes</t>
  </si>
  <si>
    <t xml:space="preserve">400 Deaderick St</t>
  </si>
  <si>
    <t xml:space="preserve">Downtown distressed — floor comp</t>
  </si>
  <si>
    <t xml:space="preserve">100 Centerview Dr</t>
  </si>
  <si>
    <t xml:space="preserve">Suburban, similar size, OL zoning</t>
  </si>
  <si>
    <t xml:space="preserve">41 Rachel Dr</t>
  </si>
  <si>
    <t xml:space="preserve">Suburban distressed</t>
  </si>
  <si>
    <t xml:space="preserve">3343 Perimeter Hill Dr</t>
  </si>
  <si>
    <t xml:space="preserve">Same vintage, suburban value-add</t>
  </si>
  <si>
    <t xml:space="preserve">424 Church St (resale)</t>
  </si>
  <si>
    <t xml:space="preserve">CBD distressed resale</t>
  </si>
  <si>
    <t xml:space="preserve">1 Burton Hills Blvd</t>
  </si>
  <si>
    <t xml:space="preserve">Same vintage, suburban</t>
  </si>
  <si>
    <t xml:space="preserve">1321 Murfreesboro Pike</t>
  </si>
  <si>
    <t xml:space="preserve">South Nashville corridor</t>
  </si>
  <si>
    <t xml:space="preserve">215 Cumberland Bnd</t>
  </si>
  <si>
    <t xml:space="preserve">IWD zoning, same era</t>
  </si>
  <si>
    <t xml:space="preserve">636 Grassmere Park</t>
  </si>
  <si>
    <t xml:space="preserve">Same park — but OCCUPIED (ceiling)</t>
  </si>
  <si>
    <t xml:space="preserve">200 Athens Way</t>
  </si>
  <si>
    <t xml:space="preserve">IWD, same vintage — OCCUPIED</t>
  </si>
  <si>
    <t xml:space="preserve">Distressed Comp Avg ($/SF)</t>
  </si>
  <si>
    <t xml:space="preserve">All Comp Avg ($/SF)</t>
  </si>
  <si>
    <t xml:space="preserve">PRICING RATIONALE</t>
  </si>
  <si>
    <t xml:space="preserve">Low Case ($65/SF): Below distressed comp average. Assumes forced sale, no buyer competition.</t>
  </si>
  <si>
    <t xml:space="preserve">Base Case ($85/SF): Aligns with 424 Church resale and 100 Centerview. Reflects 73% vacancy discount.</t>
  </si>
  <si>
    <t xml:space="preserve">High Case ($115/SF): Near 2015 acquisition basis. Requires competitive bidding from IWD/warehouse buyer.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</si>
</sst>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\$#,##0;&quot;($&quot;#,##0\);\-"/>
    <numFmt numFmtId="168" formatCode="\$#,##0.00;&quot;($&quot;#,##0.00\);\-"/>
    <numFmt numFmtId="169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E2EFDA"/>
      </patternFill>
    </fill>
    <fill>
      <patternFill patternType="solid">
        <fgColor rgb="FFFFC7CE"/>
        <bgColor rgb="FFD6E4F0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40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3" customFormat="false" ht="22.35" hidden="false" customHeight="fals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  <c r="B5" s="4"/>
      <c r="C5" s="4"/>
      <c r="D5" s="4"/>
    </row>
    <row r="6" customFormat="false" ht="15" hidden="false" customHeight="false" outlineLevel="0" collapsed="false">
      <c r="A6" s="5" t="s">
        <v>4</v>
      </c>
      <c r="B6" s="6" t="n">
        <v>224199</v>
      </c>
      <c r="C6" s="5" t="s">
        <v>5</v>
      </c>
      <c r="E6" s="3" t="s">
        <v>6</v>
      </c>
    </row>
    <row r="7" customFormat="false" ht="15" hidden="false" customHeight="false" outlineLevel="0" collapsed="false">
      <c r="A7" s="5" t="s">
        <v>7</v>
      </c>
      <c r="B7" s="6" t="n">
        <v>162550</v>
      </c>
      <c r="C7" s="5" t="s">
        <v>8</v>
      </c>
      <c r="D7" s="6" t="n">
        <v>61649</v>
      </c>
      <c r="E7" s="3" t="s">
        <v>9</v>
      </c>
    </row>
    <row r="8" customFormat="false" ht="15" hidden="false" customHeight="false" outlineLevel="0" collapsed="false">
      <c r="A8" s="5" t="s">
        <v>10</v>
      </c>
      <c r="B8" s="7" t="n">
        <v>23.49</v>
      </c>
      <c r="C8" s="5" t="s">
        <v>11</v>
      </c>
      <c r="D8" s="8" t="n">
        <f aca="false">B8*43560</f>
        <v>1023224.4</v>
      </c>
      <c r="E8" s="3" t="s">
        <v>9</v>
      </c>
    </row>
    <row r="9" customFormat="false" ht="15" hidden="false" customHeight="false" outlineLevel="0" collapsed="false">
      <c r="A9" s="5" t="s">
        <v>12</v>
      </c>
      <c r="B9" s="6" t="n">
        <v>1985</v>
      </c>
      <c r="C9" s="5" t="s">
        <v>13</v>
      </c>
      <c r="D9" s="8" t="n">
        <f aca="false">2026-B9</f>
        <v>41</v>
      </c>
    </row>
    <row r="10" customFormat="false" ht="15" hidden="false" customHeight="false" outlineLevel="0" collapsed="false">
      <c r="A10" s="5" t="s">
        <v>14</v>
      </c>
      <c r="B10" s="9" t="s">
        <v>15</v>
      </c>
      <c r="C10" s="5" t="s">
        <v>16</v>
      </c>
      <c r="D10" s="6" t="n">
        <v>1205</v>
      </c>
    </row>
    <row r="11" customFormat="false" ht="15" hidden="false" customHeight="false" outlineLevel="0" collapsed="false">
      <c r="A11" s="5" t="s">
        <v>17</v>
      </c>
      <c r="B11" s="10" t="n">
        <v>37400600</v>
      </c>
      <c r="C11" s="5" t="s">
        <v>18</v>
      </c>
      <c r="D11" s="11" t="n">
        <f aca="false">B11/B6</f>
        <v>166.818763687617</v>
      </c>
      <c r="E11" s="3" t="s">
        <v>19</v>
      </c>
    </row>
    <row r="12" customFormat="false" ht="15" hidden="false" customHeight="false" outlineLevel="0" collapsed="false">
      <c r="A12" s="5" t="s">
        <v>20</v>
      </c>
      <c r="B12" s="10" t="n">
        <v>25938000</v>
      </c>
      <c r="C12" s="5" t="s">
        <v>21</v>
      </c>
      <c r="D12" s="11" t="n">
        <f aca="false">B12/B6</f>
        <v>115.691863032395</v>
      </c>
      <c r="E12" s="3" t="s">
        <v>22</v>
      </c>
    </row>
    <row r="14" customFormat="false" ht="15" hidden="false" customHeight="true" outlineLevel="0" collapsed="false">
      <c r="A14" s="4" t="s">
        <v>23</v>
      </c>
      <c r="B14" s="4"/>
      <c r="C14" s="4"/>
      <c r="D14" s="4"/>
    </row>
    <row r="15" customFormat="false" ht="15" hidden="false" customHeight="false" outlineLevel="0" collapsed="false">
      <c r="A15" s="5" t="s">
        <v>24</v>
      </c>
      <c r="B15" s="10" t="n">
        <v>16252413</v>
      </c>
      <c r="C15" s="5" t="s">
        <v>25</v>
      </c>
      <c r="D15" s="9" t="s">
        <v>26</v>
      </c>
      <c r="E15" s="3" t="s">
        <v>27</v>
      </c>
    </row>
    <row r="16" customFormat="false" ht="15" hidden="false" customHeight="false" outlineLevel="0" collapsed="false">
      <c r="A16" s="5" t="s">
        <v>28</v>
      </c>
      <c r="B16" s="12" t="n">
        <v>0.0443</v>
      </c>
      <c r="C16" s="5" t="s">
        <v>29</v>
      </c>
      <c r="D16" s="6" t="n">
        <v>450</v>
      </c>
      <c r="E16" s="3" t="s">
        <v>27</v>
      </c>
    </row>
    <row r="17" customFormat="false" ht="15" hidden="false" customHeight="false" outlineLevel="0" collapsed="false">
      <c r="A17" s="5" t="s">
        <v>30</v>
      </c>
      <c r="B17" s="13" t="n">
        <f aca="false">B16+D16/10000</f>
        <v>0.0893</v>
      </c>
      <c r="C17" s="5" t="s">
        <v>31</v>
      </c>
      <c r="D17" s="9" t="s">
        <v>32</v>
      </c>
    </row>
    <row r="18" customFormat="false" ht="15" hidden="false" customHeight="false" outlineLevel="0" collapsed="false">
      <c r="A18" s="5" t="s">
        <v>33</v>
      </c>
      <c r="B18" s="14" t="n">
        <f aca="false">B15*B17</f>
        <v>1451340.4809</v>
      </c>
      <c r="C18" s="5" t="s">
        <v>34</v>
      </c>
      <c r="D18" s="9" t="s">
        <v>35</v>
      </c>
      <c r="E18" s="3" t="s">
        <v>27</v>
      </c>
    </row>
    <row r="19" customFormat="false" ht="15" hidden="false" customHeight="false" outlineLevel="0" collapsed="false">
      <c r="A19" s="5" t="s">
        <v>36</v>
      </c>
      <c r="B19" s="14" t="n">
        <f aca="false">B18/12</f>
        <v>120945.040075</v>
      </c>
      <c r="C19" s="5" t="s">
        <v>37</v>
      </c>
      <c r="D19" s="9" t="s">
        <v>38</v>
      </c>
    </row>
    <row r="21" customFormat="false" ht="15" hidden="false" customHeight="true" outlineLevel="0" collapsed="false">
      <c r="A21" s="4" t="s">
        <v>39</v>
      </c>
      <c r="B21" s="4"/>
      <c r="C21" s="4"/>
      <c r="D21" s="4"/>
    </row>
    <row r="22" customFormat="false" ht="15" hidden="false" customHeight="false" outlineLevel="0" collapsed="false">
      <c r="A22" s="5" t="s">
        <v>40</v>
      </c>
      <c r="B22" s="10" t="n">
        <v>1047633</v>
      </c>
      <c r="C22" s="5" t="s">
        <v>41</v>
      </c>
      <c r="D22" s="9" t="s">
        <v>42</v>
      </c>
      <c r="E22" s="3" t="s">
        <v>43</v>
      </c>
    </row>
    <row r="23" customFormat="false" ht="15" hidden="false" customHeight="false" outlineLevel="0" collapsed="false">
      <c r="A23" s="5" t="s">
        <v>44</v>
      </c>
      <c r="B23" s="10" t="n">
        <v>401932</v>
      </c>
      <c r="C23" s="5" t="s">
        <v>45</v>
      </c>
      <c r="D23" s="10" t="n">
        <v>208428</v>
      </c>
      <c r="E23" s="3" t="s">
        <v>46</v>
      </c>
    </row>
    <row r="24" customFormat="false" ht="15" hidden="false" customHeight="false" outlineLevel="0" collapsed="false">
      <c r="A24" s="5" t="s">
        <v>47</v>
      </c>
      <c r="B24" s="14" t="n">
        <f aca="false">B22+B23+D23</f>
        <v>1657993</v>
      </c>
      <c r="C24" s="5" t="s">
        <v>48</v>
      </c>
      <c r="D24" s="9" t="s">
        <v>49</v>
      </c>
      <c r="E24" s="3" t="s">
        <v>50</v>
      </c>
    </row>
    <row r="25" customFormat="false" ht="15" hidden="false" customHeight="false" outlineLevel="0" collapsed="false">
      <c r="A25" s="5" t="s">
        <v>51</v>
      </c>
      <c r="B25" s="10" t="n">
        <v>1122726</v>
      </c>
      <c r="C25" s="5" t="s">
        <v>52</v>
      </c>
      <c r="D25" s="10" t="n">
        <v>44292</v>
      </c>
      <c r="E25" s="3" t="s">
        <v>46</v>
      </c>
    </row>
    <row r="26" customFormat="false" ht="15" hidden="false" customHeight="false" outlineLevel="0" collapsed="false">
      <c r="A26" s="5" t="s">
        <v>53</v>
      </c>
      <c r="B26" s="14" t="n">
        <f aca="false">B24-B25-D25</f>
        <v>490975</v>
      </c>
      <c r="C26" s="5" t="s">
        <v>54</v>
      </c>
      <c r="D26" s="10" t="n">
        <v>1409165</v>
      </c>
      <c r="E26" s="3" t="s">
        <v>46</v>
      </c>
    </row>
    <row r="28" customFormat="false" ht="15" hidden="false" customHeight="true" outlineLevel="0" collapsed="false">
      <c r="A28" s="4" t="s">
        <v>55</v>
      </c>
      <c r="B28" s="4"/>
      <c r="C28" s="4"/>
      <c r="D28" s="4"/>
    </row>
    <row r="29" customFormat="false" ht="15" hidden="false" customHeight="false" outlineLevel="0" collapsed="false">
      <c r="A29" s="5" t="s">
        <v>56</v>
      </c>
      <c r="B29" s="15" t="n">
        <v>65</v>
      </c>
      <c r="C29" s="5" t="s">
        <v>57</v>
      </c>
      <c r="D29" s="14" t="n">
        <f aca="false">B29*B6</f>
        <v>14572935</v>
      </c>
      <c r="E29" s="3" t="s">
        <v>58</v>
      </c>
    </row>
    <row r="30" customFormat="false" ht="15" hidden="false" customHeight="false" outlineLevel="0" collapsed="false">
      <c r="A30" s="5" t="s">
        <v>59</v>
      </c>
      <c r="B30" s="15" t="n">
        <v>85</v>
      </c>
      <c r="C30" s="5" t="s">
        <v>60</v>
      </c>
      <c r="D30" s="14" t="n">
        <f aca="false">B30*B6</f>
        <v>19056915</v>
      </c>
      <c r="E30" s="3" t="s">
        <v>61</v>
      </c>
    </row>
    <row r="31" customFormat="false" ht="15" hidden="false" customHeight="false" outlineLevel="0" collapsed="false">
      <c r="A31" s="5" t="s">
        <v>62</v>
      </c>
      <c r="B31" s="15" t="n">
        <v>115</v>
      </c>
      <c r="C31" s="5" t="s">
        <v>63</v>
      </c>
      <c r="D31" s="14" t="n">
        <f aca="false">B31*B6</f>
        <v>25782885</v>
      </c>
      <c r="E31" s="3" t="s">
        <v>64</v>
      </c>
    </row>
    <row r="32" customFormat="false" ht="15" hidden="false" customHeight="false" outlineLevel="0" collapsed="false">
      <c r="A32" s="5" t="s">
        <v>65</v>
      </c>
      <c r="B32" s="12" t="n">
        <v>0.02</v>
      </c>
      <c r="E32" s="3" t="s">
        <v>66</v>
      </c>
    </row>
    <row r="33" customFormat="false" ht="15" hidden="false" customHeight="false" outlineLevel="0" collapsed="false">
      <c r="A33" s="5" t="s">
        <v>67</v>
      </c>
      <c r="B33" s="6" t="n">
        <v>6</v>
      </c>
      <c r="C33" s="5" t="s">
        <v>68</v>
      </c>
      <c r="D33" s="16" t="n">
        <f aca="false">B19</f>
        <v>120945.040075</v>
      </c>
      <c r="E33" s="3" t="s">
        <v>69</v>
      </c>
    </row>
    <row r="34" customFormat="false" ht="15" hidden="false" customHeight="false" outlineLevel="0" collapsed="false">
      <c r="A34" s="5" t="s">
        <v>70</v>
      </c>
      <c r="B34" s="12" t="n">
        <v>0.085</v>
      </c>
      <c r="C34" s="5" t="s">
        <v>71</v>
      </c>
      <c r="D34" s="14" t="n">
        <f aca="false">B22/B34</f>
        <v>12325094.1176471</v>
      </c>
      <c r="E34" s="3" t="s">
        <v>72</v>
      </c>
    </row>
  </sheetData>
  <mergeCells count="6">
    <mergeCell ref="A1:E1"/>
    <mergeCell ref="A2:E2"/>
    <mergeCell ref="A5:D5"/>
    <mergeCell ref="A14:D14"/>
    <mergeCell ref="A21:D21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22"/>
    <col collapsed="false" customWidth="true" hidden="false" outlineLevel="0" max="5" min="5" style="0" width="30"/>
  </cols>
  <sheetData>
    <row r="1" customFormat="false" ht="17.35" hidden="false" customHeight="true" outlineLevel="0" collapsed="false">
      <c r="A1" s="1" t="s">
        <v>73</v>
      </c>
      <c r="B1" s="1"/>
      <c r="C1" s="1"/>
      <c r="D1" s="1"/>
    </row>
    <row r="2" customFormat="false" ht="23.85" hidden="false" customHeight="false" outlineLevel="0" collapsed="false">
      <c r="A2" s="17" t="s">
        <v>1</v>
      </c>
    </row>
    <row r="4" customFormat="false" ht="15" hidden="false" customHeight="false" outlineLevel="0" collapsed="false">
      <c r="B4" s="18" t="s">
        <v>74</v>
      </c>
      <c r="C4" s="18" t="s">
        <v>75</v>
      </c>
      <c r="D4" s="18" t="s">
        <v>76</v>
      </c>
    </row>
    <row r="5" customFormat="false" ht="15" hidden="false" customHeight="true" outlineLevel="0" collapsed="false">
      <c r="A5" s="19" t="s">
        <v>77</v>
      </c>
      <c r="B5" s="19"/>
      <c r="C5" s="19"/>
      <c r="D5" s="19"/>
    </row>
    <row r="6" customFormat="false" ht="15" hidden="false" customHeight="false" outlineLevel="0" collapsed="false">
      <c r="A6" s="5" t="s">
        <v>78</v>
      </c>
      <c r="B6" s="20" t="n">
        <f aca="false">Assumptions!B29</f>
        <v>65</v>
      </c>
      <c r="C6" s="20" t="n">
        <f aca="false">Assumptions!B30</f>
        <v>85</v>
      </c>
      <c r="D6" s="20" t="n">
        <f aca="false">Assumptions!B31</f>
        <v>115</v>
      </c>
    </row>
    <row r="7" customFormat="false" ht="15" hidden="false" customHeight="false" outlineLevel="0" collapsed="false">
      <c r="A7" s="5" t="s">
        <v>79</v>
      </c>
      <c r="B7" s="14" t="n">
        <f aca="false">B6*Assumptions!B6</f>
        <v>14572935</v>
      </c>
      <c r="C7" s="14" t="n">
        <f aca="false">C6*Assumptions!B6</f>
        <v>19056915</v>
      </c>
      <c r="D7" s="14" t="n">
        <f aca="false">D6*Assumptions!B6</f>
        <v>25782885</v>
      </c>
    </row>
    <row r="8" customFormat="false" ht="15" hidden="false" customHeight="false" outlineLevel="0" collapsed="false">
      <c r="A8" s="5" t="s">
        <v>80</v>
      </c>
      <c r="B8" s="14" t="n">
        <f aca="false">-B7*Assumptions!B32</f>
        <v>-291458.7</v>
      </c>
      <c r="C8" s="14" t="n">
        <f aca="false">-C7*Assumptions!B32</f>
        <v>-381138.3</v>
      </c>
      <c r="D8" s="14" t="n">
        <f aca="false">-D7*Assumptions!B32</f>
        <v>-515657.7</v>
      </c>
      <c r="E8" s="3" t="s">
        <v>81</v>
      </c>
    </row>
    <row r="9" customFormat="false" ht="15" hidden="false" customHeight="false" outlineLevel="0" collapsed="false">
      <c r="A9" s="5" t="s">
        <v>82</v>
      </c>
      <c r="B9" s="14" t="n">
        <f aca="false">-Assumptions!B19*Assumptions!B33</f>
        <v>-725670.24045</v>
      </c>
      <c r="C9" s="14" t="n">
        <f aca="false">B9</f>
        <v>-725670.24045</v>
      </c>
      <c r="D9" s="14" t="n">
        <f aca="false">B9</f>
        <v>-725670.24045</v>
      </c>
      <c r="E9" s="3" t="s">
        <v>83</v>
      </c>
    </row>
    <row r="10" customFormat="false" ht="15" hidden="false" customHeight="false" outlineLevel="0" collapsed="false">
      <c r="A10" s="21" t="s">
        <v>84</v>
      </c>
      <c r="B10" s="22" t="n">
        <f aca="false">SUM(B7:B9)</f>
        <v>13555806.05955</v>
      </c>
      <c r="C10" s="22" t="n">
        <f aca="false">SUM(C7:C9)</f>
        <v>17950106.45955</v>
      </c>
      <c r="D10" s="22" t="n">
        <f aca="false">SUM(D7:D9)</f>
        <v>24541557.05955</v>
      </c>
    </row>
    <row r="12" customFormat="false" ht="15" hidden="false" customHeight="true" outlineLevel="0" collapsed="false">
      <c r="A12" s="19" t="s">
        <v>85</v>
      </c>
      <c r="B12" s="19"/>
      <c r="C12" s="19"/>
      <c r="D12" s="19"/>
    </row>
    <row r="13" customFormat="false" ht="15" hidden="false" customHeight="false" outlineLevel="0" collapsed="false">
      <c r="A13" s="5" t="s">
        <v>86</v>
      </c>
      <c r="B13" s="16" t="n">
        <f aca="false">Assumptions!B15</f>
        <v>16252413</v>
      </c>
      <c r="C13" s="16" t="n">
        <f aca="false">B13</f>
        <v>16252413</v>
      </c>
      <c r="D13" s="16" t="n">
        <f aca="false">B13</f>
        <v>16252413</v>
      </c>
      <c r="E13" s="3" t="s">
        <v>87</v>
      </c>
    </row>
    <row r="14" customFormat="false" ht="15" hidden="false" customHeight="false" outlineLevel="0" collapsed="false">
      <c r="A14" s="21" t="s">
        <v>88</v>
      </c>
      <c r="B14" s="22" t="n">
        <f aca="false">B10-B13</f>
        <v>-2696606.94045</v>
      </c>
      <c r="C14" s="22" t="n">
        <f aca="false">C10-C13</f>
        <v>1697693.45955</v>
      </c>
      <c r="D14" s="22" t="n">
        <f aca="false">D10-D13</f>
        <v>8289144.05955</v>
      </c>
    </row>
    <row r="15" customFormat="false" ht="15" hidden="false" customHeight="false" outlineLevel="0" collapsed="false">
      <c r="A15" s="5" t="s">
        <v>89</v>
      </c>
      <c r="B15" s="23" t="str">
        <f aca="false">IF(B14&gt;=0,"SURPLUS","SHORTFALL")</f>
        <v>SHORTFALL</v>
      </c>
      <c r="C15" s="23" t="str">
        <f aca="false">IF(C14&gt;=0,"SURPLUS","SHORTFALL")</f>
        <v>SURPLUS</v>
      </c>
      <c r="D15" s="23" t="str">
        <f aca="false">IF(D14&gt;=0,"SURPLUS","SHORTFALL")</f>
        <v>SURPLUS</v>
      </c>
    </row>
    <row r="17" customFormat="false" ht="15" hidden="false" customHeight="true" outlineLevel="0" collapsed="false">
      <c r="A17" s="19" t="s">
        <v>90</v>
      </c>
      <c r="B17" s="19"/>
      <c r="C17" s="19"/>
      <c r="D17" s="19"/>
    </row>
    <row r="18" customFormat="false" ht="15" hidden="false" customHeight="false" outlineLevel="0" collapsed="false">
      <c r="A18" s="5" t="s">
        <v>91</v>
      </c>
      <c r="B18" s="16" t="n">
        <f aca="false">Assumptions!B22</f>
        <v>1047633</v>
      </c>
    </row>
    <row r="19" customFormat="false" ht="15" hidden="false" customHeight="false" outlineLevel="0" collapsed="false">
      <c r="A19" s="5" t="s">
        <v>92</v>
      </c>
      <c r="B19" s="14" t="n">
        <f aca="false">-Assumptions!B22*0.35</f>
        <v>-366671.55</v>
      </c>
      <c r="E19" s="3" t="s">
        <v>93</v>
      </c>
    </row>
    <row r="20" customFormat="false" ht="15" hidden="false" customHeight="false" outlineLevel="0" collapsed="false">
      <c r="A20" s="5" t="s">
        <v>94</v>
      </c>
      <c r="B20" s="14" t="n">
        <f aca="false">B18+B19</f>
        <v>680961.45</v>
      </c>
    </row>
    <row r="21" customFormat="false" ht="15" hidden="false" customHeight="false" outlineLevel="0" collapsed="false">
      <c r="A21" s="5" t="s">
        <v>95</v>
      </c>
      <c r="B21" s="24" t="n">
        <f aca="false">Assumptions!B34</f>
        <v>0.085</v>
      </c>
    </row>
    <row r="22" customFormat="false" ht="22.35" hidden="false" customHeight="false" outlineLevel="0" collapsed="false">
      <c r="A22" s="21" t="s">
        <v>96</v>
      </c>
      <c r="B22" s="22" t="n">
        <f aca="false">IF(B21&gt;0,B20/B21,0)</f>
        <v>8011311.17647059</v>
      </c>
      <c r="E22" s="3" t="s">
        <v>97</v>
      </c>
    </row>
    <row r="23" customFormat="false" ht="15" hidden="false" customHeight="false" outlineLevel="0" collapsed="false">
      <c r="A23" s="5" t="s">
        <v>98</v>
      </c>
      <c r="B23" s="11" t="n">
        <f aca="false">B22/Assumptions!B6</f>
        <v>35.7330370629244</v>
      </c>
    </row>
    <row r="25" customFormat="false" ht="15" hidden="false" customHeight="true" outlineLevel="0" collapsed="false">
      <c r="A25" s="19" t="s">
        <v>99</v>
      </c>
      <c r="B25" s="19"/>
      <c r="C25" s="19"/>
      <c r="D25" s="19"/>
    </row>
    <row r="26" customFormat="false" ht="15" hidden="false" customHeight="false" outlineLevel="0" collapsed="false">
      <c r="A26" s="5" t="s">
        <v>100</v>
      </c>
      <c r="B26" s="14" t="n">
        <f aca="false">Assumptions!B12-Assumptions!B15</f>
        <v>9685587</v>
      </c>
      <c r="E26" s="3" t="s">
        <v>101</v>
      </c>
    </row>
    <row r="27" customFormat="false" ht="22.35" hidden="false" customHeight="false" outlineLevel="0" collapsed="false">
      <c r="A27" s="5" t="s">
        <v>102</v>
      </c>
      <c r="B27" s="25" t="n">
        <v>5000000</v>
      </c>
      <c r="E27" s="3" t="s">
        <v>103</v>
      </c>
    </row>
    <row r="28" customFormat="false" ht="15" hidden="false" customHeight="false" outlineLevel="0" collapsed="false">
      <c r="A28" s="21" t="s">
        <v>104</v>
      </c>
      <c r="B28" s="26" t="n">
        <f aca="false">B26+B27</f>
        <v>14685587</v>
      </c>
    </row>
    <row r="29" customFormat="false" ht="22.35" hidden="false" customHeight="false" outlineLevel="0" collapsed="false">
      <c r="A29" s="5" t="s">
        <v>105</v>
      </c>
      <c r="B29" s="16" t="n">
        <f aca="false">C14</f>
        <v>1697693.45955</v>
      </c>
      <c r="E29" s="3" t="s">
        <v>106</v>
      </c>
    </row>
    <row r="30" customFormat="false" ht="15" hidden="false" customHeight="false" outlineLevel="0" collapsed="false">
      <c r="A30" s="27" t="s">
        <v>107</v>
      </c>
      <c r="B30" s="28" t="n">
        <f aca="false">B28-IF(B29&gt;0,B29,0)</f>
        <v>12987893.54045</v>
      </c>
    </row>
    <row r="32" customFormat="false" ht="15" hidden="false" customHeight="true" outlineLevel="0" collapsed="false">
      <c r="A32" s="19" t="s">
        <v>108</v>
      </c>
      <c r="B32" s="19"/>
      <c r="C32" s="19"/>
      <c r="D32" s="19"/>
    </row>
    <row r="33" customFormat="false" ht="23.85" hidden="false" customHeight="false" outlineLevel="0" collapsed="false">
      <c r="A33" s="29" t="s">
        <v>109</v>
      </c>
    </row>
    <row r="34" customFormat="false" ht="23.85" hidden="false" customHeight="false" outlineLevel="0" collapsed="false">
      <c r="A34" s="29" t="s">
        <v>110</v>
      </c>
    </row>
    <row r="35" customFormat="false" ht="15" hidden="false" customHeight="false" outlineLevel="0" collapsed="false">
      <c r="A35" s="29" t="s">
        <v>111</v>
      </c>
    </row>
    <row r="36" customFormat="false" ht="15" hidden="false" customHeight="false" outlineLevel="0" collapsed="false">
      <c r="A36" s="29" t="s">
        <v>112</v>
      </c>
    </row>
    <row r="37" customFormat="false" ht="23.85" hidden="false" customHeight="false" outlineLevel="0" collapsed="false">
      <c r="A37" s="29" t="s">
        <v>113</v>
      </c>
    </row>
    <row r="38" customFormat="false" ht="23.85" hidden="false" customHeight="false" outlineLevel="0" collapsed="false">
      <c r="A38" s="29" t="s">
        <v>114</v>
      </c>
    </row>
    <row r="39" customFormat="false" ht="23.85" hidden="false" customHeight="false" outlineLevel="0" collapsed="false">
      <c r="A39" s="29" t="s">
        <v>115</v>
      </c>
    </row>
  </sheetData>
  <mergeCells count="6">
    <mergeCell ref="A1:D1"/>
    <mergeCell ref="A5:D5"/>
    <mergeCell ref="A12:D12"/>
    <mergeCell ref="A17:D17"/>
    <mergeCell ref="A25:D25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20"/>
  </cols>
  <sheetData>
    <row r="1" customFormat="false" ht="17.35" hidden="false" customHeight="true" outlineLevel="0" collapsed="false">
      <c r="A1" s="1" t="s">
        <v>116</v>
      </c>
      <c r="B1" s="1"/>
      <c r="C1" s="1"/>
      <c r="D1" s="1"/>
      <c r="E1" s="1"/>
    </row>
    <row r="3" customFormat="false" ht="15" hidden="false" customHeight="false" outlineLevel="0" collapsed="false">
      <c r="A3" s="18" t="s">
        <v>78</v>
      </c>
      <c r="B3" s="18" t="s">
        <v>117</v>
      </c>
      <c r="C3" s="18" t="s">
        <v>118</v>
      </c>
      <c r="D3" s="18" t="s">
        <v>119</v>
      </c>
      <c r="E3" s="18" t="s">
        <v>89</v>
      </c>
    </row>
    <row r="4" customFormat="false" ht="15" hidden="false" customHeight="false" outlineLevel="0" collapsed="false">
      <c r="A4" s="30" t="n">
        <v>50</v>
      </c>
      <c r="B4" s="14" t="n">
        <f aca="false">A4*Assumptions!B6</f>
        <v>11209950</v>
      </c>
      <c r="C4" s="14" t="n">
        <f aca="false">B4*(1-Assumptions!B32)-Assumptions!B19*Assumptions!B33</f>
        <v>10260080.75955</v>
      </c>
      <c r="D4" s="16" t="n">
        <f aca="false">-Assumptions!B15</f>
        <v>-16252413</v>
      </c>
      <c r="E4" s="14" t="n">
        <f aca="false">C4+D4</f>
        <v>-5992332.24045</v>
      </c>
    </row>
    <row r="5" customFormat="false" ht="15" hidden="false" customHeight="false" outlineLevel="0" collapsed="false">
      <c r="A5" s="30" t="n">
        <v>60</v>
      </c>
      <c r="B5" s="14" t="n">
        <f aca="false">A5*Assumptions!B6</f>
        <v>13451940</v>
      </c>
      <c r="C5" s="14" t="n">
        <f aca="false">B5*(1-Assumptions!B32)-Assumptions!B19*Assumptions!B33</f>
        <v>12457230.95955</v>
      </c>
      <c r="D5" s="16" t="n">
        <f aca="false">-Assumptions!B15</f>
        <v>-16252413</v>
      </c>
      <c r="E5" s="14" t="n">
        <f aca="false">C5+D5</f>
        <v>-3795182.04045</v>
      </c>
    </row>
    <row r="6" customFormat="false" ht="15" hidden="false" customHeight="false" outlineLevel="0" collapsed="false">
      <c r="A6" s="30" t="n">
        <v>65</v>
      </c>
      <c r="B6" s="14" t="n">
        <f aca="false">A6*Assumptions!B6</f>
        <v>14572935</v>
      </c>
      <c r="C6" s="14" t="n">
        <f aca="false">B6*(1-Assumptions!B32)-Assumptions!B19*Assumptions!B33</f>
        <v>13555806.05955</v>
      </c>
      <c r="D6" s="16" t="n">
        <f aca="false">-Assumptions!B15</f>
        <v>-16252413</v>
      </c>
      <c r="E6" s="14" t="n">
        <f aca="false">C6+D6</f>
        <v>-2696606.94045</v>
      </c>
    </row>
    <row r="7" customFormat="false" ht="15" hidden="false" customHeight="false" outlineLevel="0" collapsed="false">
      <c r="A7" s="30" t="n">
        <v>70</v>
      </c>
      <c r="B7" s="14" t="n">
        <f aca="false">A7*Assumptions!B6</f>
        <v>15693930</v>
      </c>
      <c r="C7" s="14" t="n">
        <f aca="false">B7*(1-Assumptions!B32)-Assumptions!B19*Assumptions!B33</f>
        <v>14654381.15955</v>
      </c>
      <c r="D7" s="16" t="n">
        <f aca="false">-Assumptions!B15</f>
        <v>-16252413</v>
      </c>
      <c r="E7" s="14" t="n">
        <f aca="false">C7+D7</f>
        <v>-1598031.84045</v>
      </c>
    </row>
    <row r="8" customFormat="false" ht="15" hidden="false" customHeight="false" outlineLevel="0" collapsed="false">
      <c r="A8" s="30" t="n">
        <v>75</v>
      </c>
      <c r="B8" s="14" t="n">
        <f aca="false">A8*Assumptions!B6</f>
        <v>16814925</v>
      </c>
      <c r="C8" s="14" t="n">
        <f aca="false">B8*(1-Assumptions!B32)-Assumptions!B19*Assumptions!B33</f>
        <v>15752956.25955</v>
      </c>
      <c r="D8" s="16" t="n">
        <f aca="false">-Assumptions!B15</f>
        <v>-16252413</v>
      </c>
      <c r="E8" s="14" t="n">
        <f aca="false">C8+D8</f>
        <v>-499456.74045</v>
      </c>
    </row>
    <row r="9" customFormat="false" ht="15" hidden="false" customHeight="false" outlineLevel="0" collapsed="false">
      <c r="A9" s="30" t="n">
        <v>80</v>
      </c>
      <c r="B9" s="14" t="n">
        <f aca="false">A9*Assumptions!B6</f>
        <v>17935920</v>
      </c>
      <c r="C9" s="14" t="n">
        <f aca="false">B9*(1-Assumptions!B32)-Assumptions!B19*Assumptions!B33</f>
        <v>16851531.35955</v>
      </c>
      <c r="D9" s="16" t="n">
        <f aca="false">-Assumptions!B15</f>
        <v>-16252413</v>
      </c>
      <c r="E9" s="14" t="n">
        <f aca="false">C9+D9</f>
        <v>599118.359550003</v>
      </c>
    </row>
    <row r="10" customFormat="false" ht="15" hidden="false" customHeight="false" outlineLevel="0" collapsed="false">
      <c r="A10" s="30" t="n">
        <v>85</v>
      </c>
      <c r="B10" s="14" t="n">
        <f aca="false">A10*Assumptions!B6</f>
        <v>19056915</v>
      </c>
      <c r="C10" s="14" t="n">
        <f aca="false">B10*(1-Assumptions!B32)-Assumptions!B19*Assumptions!B33</f>
        <v>17950106.45955</v>
      </c>
      <c r="D10" s="16" t="n">
        <f aca="false">-Assumptions!B15</f>
        <v>-16252413</v>
      </c>
      <c r="E10" s="14" t="n">
        <f aca="false">C10+D10</f>
        <v>1697693.45955</v>
      </c>
    </row>
    <row r="11" customFormat="false" ht="15" hidden="false" customHeight="false" outlineLevel="0" collapsed="false">
      <c r="A11" s="30" t="n">
        <v>90</v>
      </c>
      <c r="B11" s="14" t="n">
        <f aca="false">A11*Assumptions!B6</f>
        <v>20177910</v>
      </c>
      <c r="C11" s="14" t="n">
        <f aca="false">B11*(1-Assumptions!B32)-Assumptions!B19*Assumptions!B33</f>
        <v>19048681.55955</v>
      </c>
      <c r="D11" s="16" t="n">
        <f aca="false">-Assumptions!B15</f>
        <v>-16252413</v>
      </c>
      <c r="E11" s="14" t="n">
        <f aca="false">C11+D11</f>
        <v>2796268.55955</v>
      </c>
    </row>
    <row r="12" customFormat="false" ht="15" hidden="false" customHeight="false" outlineLevel="0" collapsed="false">
      <c r="A12" s="30" t="n">
        <v>95</v>
      </c>
      <c r="B12" s="14" t="n">
        <f aca="false">A12*Assumptions!B6</f>
        <v>21298905</v>
      </c>
      <c r="C12" s="14" t="n">
        <f aca="false">B12*(1-Assumptions!B32)-Assumptions!B19*Assumptions!B33</f>
        <v>20147256.65955</v>
      </c>
      <c r="D12" s="16" t="n">
        <f aca="false">-Assumptions!B15</f>
        <v>-16252413</v>
      </c>
      <c r="E12" s="14" t="n">
        <f aca="false">C12+D12</f>
        <v>3894843.65955</v>
      </c>
    </row>
    <row r="13" customFormat="false" ht="15" hidden="false" customHeight="false" outlineLevel="0" collapsed="false">
      <c r="A13" s="30" t="n">
        <v>100</v>
      </c>
      <c r="B13" s="14" t="n">
        <f aca="false">A13*Assumptions!B6</f>
        <v>22419900</v>
      </c>
      <c r="C13" s="14" t="n">
        <f aca="false">B13*(1-Assumptions!B32)-Assumptions!B19*Assumptions!B33</f>
        <v>21245831.75955</v>
      </c>
      <c r="D13" s="16" t="n">
        <f aca="false">-Assumptions!B15</f>
        <v>-16252413</v>
      </c>
      <c r="E13" s="14" t="n">
        <f aca="false">C13+D13</f>
        <v>4993418.75955</v>
      </c>
    </row>
    <row r="14" customFormat="false" ht="15" hidden="false" customHeight="false" outlineLevel="0" collapsed="false">
      <c r="A14" s="30" t="n">
        <v>110</v>
      </c>
      <c r="B14" s="14" t="n">
        <f aca="false">A14*Assumptions!B6</f>
        <v>24661890</v>
      </c>
      <c r="C14" s="14" t="n">
        <f aca="false">B14*(1-Assumptions!B32)-Assumptions!B19*Assumptions!B33</f>
        <v>23442981.95955</v>
      </c>
      <c r="D14" s="16" t="n">
        <f aca="false">-Assumptions!B15</f>
        <v>-16252413</v>
      </c>
      <c r="E14" s="14" t="n">
        <f aca="false">C14+D14</f>
        <v>7190568.95955</v>
      </c>
    </row>
    <row r="15" customFormat="false" ht="15" hidden="false" customHeight="false" outlineLevel="0" collapsed="false">
      <c r="A15" s="15" t="n">
        <v>116</v>
      </c>
      <c r="B15" s="14" t="n">
        <f aca="false">A15*Assumptions!B6</f>
        <v>26007084</v>
      </c>
      <c r="C15" s="14" t="n">
        <f aca="false">B15*(1-Assumptions!B32)-Assumptions!B19*Assumptions!B33</f>
        <v>24761272.07955</v>
      </c>
      <c r="D15" s="16" t="n">
        <f aca="false">-Assumptions!B15</f>
        <v>-16252413</v>
      </c>
      <c r="E15" s="31" t="n">
        <f aca="false">C15+D15</f>
        <v>8508859.07955</v>
      </c>
    </row>
    <row r="16" customFormat="false" ht="15" hidden="false" customHeight="false" outlineLevel="0" collapsed="false">
      <c r="A16" s="30" t="n">
        <v>120</v>
      </c>
      <c r="B16" s="14" t="n">
        <f aca="false">A16*Assumptions!B6</f>
        <v>26903880</v>
      </c>
      <c r="C16" s="14" t="n">
        <f aca="false">B16*(1-Assumptions!B32)-Assumptions!B19*Assumptions!B33</f>
        <v>25640132.15955</v>
      </c>
      <c r="D16" s="16" t="n">
        <f aca="false">-Assumptions!B15</f>
        <v>-16252413</v>
      </c>
      <c r="E16" s="14" t="n">
        <f aca="false">C16+D16</f>
        <v>9387719.15955</v>
      </c>
    </row>
    <row r="17" customFormat="false" ht="15" hidden="false" customHeight="false" outlineLevel="0" collapsed="false">
      <c r="A17" s="30" t="n">
        <v>130</v>
      </c>
      <c r="B17" s="14" t="n">
        <f aca="false">A17*Assumptions!B6</f>
        <v>29145870</v>
      </c>
      <c r="C17" s="14" t="n">
        <f aca="false">B17*(1-Assumptions!B32)-Assumptions!B19*Assumptions!B33</f>
        <v>27837282.35955</v>
      </c>
      <c r="D17" s="16" t="n">
        <f aca="false">-Assumptions!B15</f>
        <v>-16252413</v>
      </c>
      <c r="E17" s="14" t="n">
        <f aca="false">C17+D17</f>
        <v>11584869.35955</v>
      </c>
    </row>
    <row r="18" customFormat="false" ht="15" hidden="false" customHeight="false" outlineLevel="0" collapsed="false">
      <c r="A18" s="30" t="n">
        <v>140</v>
      </c>
      <c r="B18" s="14" t="n">
        <f aca="false">A18*Assumptions!B6</f>
        <v>31387860</v>
      </c>
      <c r="C18" s="14" t="n">
        <f aca="false">B18*(1-Assumptions!B32)-Assumptions!B19*Assumptions!B33</f>
        <v>30034432.55955</v>
      </c>
      <c r="D18" s="16" t="n">
        <f aca="false">-Assumptions!B15</f>
        <v>-16252413</v>
      </c>
      <c r="E18" s="14" t="n">
        <f aca="false">C18+D18</f>
        <v>13782019.55955</v>
      </c>
    </row>
    <row r="19" customFormat="false" ht="15" hidden="false" customHeight="false" outlineLevel="0" collapsed="false">
      <c r="A19" s="30" t="n">
        <v>150</v>
      </c>
      <c r="B19" s="14" t="n">
        <f aca="false">A19*Assumptions!B6</f>
        <v>33629850</v>
      </c>
      <c r="C19" s="14" t="n">
        <f aca="false">B19*(1-Assumptions!B32)-Assumptions!B19*Assumptions!B33</f>
        <v>32231582.75955</v>
      </c>
      <c r="D19" s="16" t="n">
        <f aca="false">-Assumptions!B15</f>
        <v>-16252413</v>
      </c>
      <c r="E19" s="14" t="n">
        <f aca="false">C19+D19</f>
        <v>15979169.75955</v>
      </c>
    </row>
    <row r="21" customFormat="false" ht="23.85" hidden="false" customHeight="false" outlineLevel="0" collapsed="false">
      <c r="A21" s="5" t="s">
        <v>120</v>
      </c>
      <c r="B21" s="32" t="n">
        <f aca="false">Assumptions!B15/(Assumptions!B6*(1-Assumptions!B32))+Assumptions!B19*Assumptions!B33/(Assumptions!B6*(1-Assumptions!B32))</f>
        <v>77.2732025350384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40"/>
  </cols>
  <sheetData>
    <row r="1" customFormat="false" ht="17.35" hidden="false" customHeight="true" outlineLevel="0" collapsed="false">
      <c r="A1" s="1" t="s">
        <v>121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8" t="s">
        <v>122</v>
      </c>
      <c r="B3" s="18" t="s">
        <v>123</v>
      </c>
      <c r="C3" s="18" t="s">
        <v>124</v>
      </c>
      <c r="D3" s="18" t="s">
        <v>125</v>
      </c>
      <c r="E3" s="18" t="s">
        <v>126</v>
      </c>
      <c r="F3" s="18" t="s">
        <v>127</v>
      </c>
      <c r="G3" s="18" t="s">
        <v>128</v>
      </c>
    </row>
    <row r="4" customFormat="false" ht="15" hidden="false" customHeight="false" outlineLevel="0" collapsed="false">
      <c r="A4" s="33" t="s">
        <v>129</v>
      </c>
      <c r="B4" s="34" t="n">
        <v>54</v>
      </c>
      <c r="C4" s="35" t="n">
        <v>2025</v>
      </c>
      <c r="D4" s="35" t="n">
        <v>295914</v>
      </c>
      <c r="E4" s="35" t="n">
        <v>1985</v>
      </c>
      <c r="F4" s="36" t="n">
        <v>0.57</v>
      </c>
      <c r="G4" s="37" t="s">
        <v>130</v>
      </c>
    </row>
    <row r="5" customFormat="false" ht="15" hidden="false" customHeight="false" outlineLevel="0" collapsed="false">
      <c r="A5" s="33" t="s">
        <v>131</v>
      </c>
      <c r="B5" s="34" t="n">
        <v>78</v>
      </c>
      <c r="C5" s="35" t="n">
        <v>2025</v>
      </c>
      <c r="D5" s="35" t="n">
        <v>248573</v>
      </c>
      <c r="E5" s="35" t="n">
        <v>1984</v>
      </c>
      <c r="F5" s="36" t="n">
        <v>25.36</v>
      </c>
      <c r="G5" s="37" t="s">
        <v>132</v>
      </c>
    </row>
    <row r="6" customFormat="false" ht="15" hidden="false" customHeight="false" outlineLevel="0" collapsed="false">
      <c r="A6" s="33" t="s">
        <v>133</v>
      </c>
      <c r="B6" s="34" t="n">
        <v>70</v>
      </c>
      <c r="C6" s="35" t="n">
        <v>2025</v>
      </c>
      <c r="D6" s="35" t="n">
        <v>157262</v>
      </c>
      <c r="E6" s="35" t="n">
        <v>1992</v>
      </c>
      <c r="F6" s="36" t="n">
        <v>13.5</v>
      </c>
      <c r="G6" s="37" t="s">
        <v>134</v>
      </c>
    </row>
    <row r="7" customFormat="false" ht="15" hidden="false" customHeight="false" outlineLevel="0" collapsed="false">
      <c r="A7" s="33" t="s">
        <v>135</v>
      </c>
      <c r="B7" s="34" t="n">
        <v>72</v>
      </c>
      <c r="C7" s="35" t="n">
        <v>2018</v>
      </c>
      <c r="D7" s="35" t="n">
        <v>73352</v>
      </c>
      <c r="E7" s="35" t="n">
        <v>1985</v>
      </c>
      <c r="F7" s="36" t="n">
        <v>3.58</v>
      </c>
      <c r="G7" s="37" t="s">
        <v>136</v>
      </c>
    </row>
    <row r="8" customFormat="false" ht="15" hidden="false" customHeight="false" outlineLevel="0" collapsed="false">
      <c r="A8" s="33" t="s">
        <v>137</v>
      </c>
      <c r="B8" s="34" t="n">
        <v>85</v>
      </c>
      <c r="C8" s="35" t="n">
        <v>2025</v>
      </c>
      <c r="D8" s="35" t="n">
        <v>647732</v>
      </c>
      <c r="E8" s="35" t="n">
        <v>1985</v>
      </c>
      <c r="F8" s="36" t="n">
        <v>0.83</v>
      </c>
      <c r="G8" s="37" t="s">
        <v>138</v>
      </c>
    </row>
    <row r="9" customFormat="false" ht="15" hidden="false" customHeight="false" outlineLevel="0" collapsed="false">
      <c r="A9" s="33" t="s">
        <v>139</v>
      </c>
      <c r="B9" s="34" t="n">
        <v>98</v>
      </c>
      <c r="C9" s="35" t="n">
        <v>2025</v>
      </c>
      <c r="D9" s="35" t="n">
        <v>121968</v>
      </c>
      <c r="E9" s="35" t="n">
        <v>1985</v>
      </c>
      <c r="F9" s="36" t="n">
        <v>7.07</v>
      </c>
      <c r="G9" s="37" t="s">
        <v>140</v>
      </c>
    </row>
    <row r="10" customFormat="false" ht="15" hidden="false" customHeight="false" outlineLevel="0" collapsed="false">
      <c r="A10" s="33" t="s">
        <v>141</v>
      </c>
      <c r="B10" s="34" t="n">
        <v>97</v>
      </c>
      <c r="C10" s="35" t="n">
        <v>2021</v>
      </c>
      <c r="D10" s="35" t="n">
        <v>189836</v>
      </c>
      <c r="E10" s="35" t="n">
        <v>1987</v>
      </c>
      <c r="F10" s="36" t="n">
        <v>5.3</v>
      </c>
      <c r="G10" s="37" t="s">
        <v>142</v>
      </c>
    </row>
    <row r="11" customFormat="false" ht="15" hidden="false" customHeight="false" outlineLevel="0" collapsed="false">
      <c r="A11" s="33" t="s">
        <v>143</v>
      </c>
      <c r="B11" s="34" t="n">
        <v>107</v>
      </c>
      <c r="C11" s="35" t="n">
        <v>2020</v>
      </c>
      <c r="D11" s="35" t="n">
        <v>101124</v>
      </c>
      <c r="E11" s="35" t="n">
        <v>1980</v>
      </c>
      <c r="F11" s="36" t="n">
        <v>8.2</v>
      </c>
      <c r="G11" s="37" t="s">
        <v>144</v>
      </c>
    </row>
    <row r="12" customFormat="false" ht="15" hidden="false" customHeight="false" outlineLevel="0" collapsed="false">
      <c r="A12" s="38" t="s">
        <v>145</v>
      </c>
      <c r="B12" s="39" t="n">
        <v>236</v>
      </c>
      <c r="C12" s="40" t="n">
        <v>2022</v>
      </c>
      <c r="D12" s="40" t="n">
        <v>63474</v>
      </c>
      <c r="E12" s="40" t="n">
        <v>1985</v>
      </c>
      <c r="F12" s="41" t="n">
        <v>6.02</v>
      </c>
      <c r="G12" s="42" t="s">
        <v>146</v>
      </c>
    </row>
    <row r="13" customFormat="false" ht="15" hidden="false" customHeight="false" outlineLevel="0" collapsed="false">
      <c r="A13" s="38" t="s">
        <v>147</v>
      </c>
      <c r="B13" s="39" t="n">
        <v>146</v>
      </c>
      <c r="C13" s="40" t="n">
        <v>2019</v>
      </c>
      <c r="D13" s="40" t="n">
        <v>246151</v>
      </c>
      <c r="E13" s="40" t="n">
        <v>1985</v>
      </c>
      <c r="F13" s="41" t="n">
        <v>8.7</v>
      </c>
      <c r="G13" s="42" t="s">
        <v>148</v>
      </c>
    </row>
    <row r="15" customFormat="false" ht="15" hidden="false" customHeight="false" outlineLevel="0" collapsed="false">
      <c r="A15" s="5" t="s">
        <v>149</v>
      </c>
      <c r="B15" s="43" t="n">
        <f aca="false">AVERAGE(B4:B10)</f>
        <v>79.1428571428571</v>
      </c>
    </row>
    <row r="16" customFormat="false" ht="15" hidden="false" customHeight="false" outlineLevel="0" collapsed="false">
      <c r="A16" s="5" t="s">
        <v>150</v>
      </c>
      <c r="B16" s="43" t="n">
        <f aca="false">AVERAGE(B4:B13)</f>
        <v>104.3</v>
      </c>
    </row>
    <row r="18" customFormat="false" ht="15" hidden="false" customHeight="false" outlineLevel="0" collapsed="false">
      <c r="A18" s="44" t="s">
        <v>151</v>
      </c>
    </row>
    <row r="19" customFormat="false" ht="15" hidden="false" customHeight="true" outlineLevel="0" collapsed="false">
      <c r="A19" s="29" t="s">
        <v>152</v>
      </c>
      <c r="B19" s="29"/>
      <c r="C19" s="29"/>
      <c r="D19" s="29"/>
      <c r="E19" s="29"/>
      <c r="F19" s="29"/>
      <c r="G19" s="29"/>
    </row>
    <row r="20" customFormat="false" ht="15" hidden="false" customHeight="true" outlineLevel="0" collapsed="false">
      <c r="A20" s="29" t="s">
        <v>153</v>
      </c>
      <c r="B20" s="29"/>
      <c r="C20" s="29"/>
      <c r="D20" s="29"/>
      <c r="E20" s="29"/>
      <c r="F20" s="29"/>
      <c r="G20" s="29"/>
    </row>
    <row r="21" customFormat="false" ht="15" hidden="false" customHeight="true" outlineLevel="0" collapsed="false">
      <c r="A21" s="29" t="s">
        <v>154</v>
      </c>
      <c r="B21" s="29"/>
      <c r="C21" s="29"/>
      <c r="D21" s="29"/>
      <c r="E21" s="29"/>
      <c r="F21" s="29"/>
      <c r="G21" s="29"/>
    </row>
  </sheetData>
  <mergeCells count="4">
    <mergeCell ref="A1:G1"/>
    <mergeCell ref="A19:G19"/>
    <mergeCell ref="A20:G20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2026-02-17T23:09:26Z</dcterms:created>
  <dc:creator>openpyxl</dc:creator>
  <dc:description/>
  <dc:language>en-US</dc:language>
  <cp:lastModifiedBy/>
  <dcterms:modified xsi:type="dcterms:W3CDTF">2026-02-17T23:09:26Z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